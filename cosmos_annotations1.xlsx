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_assignments" sheetId="1" r:id="rId5"/>
  </sheets>
  <definedNames>
    <definedName hidden="1" localSheetId="0" name="_xlnm._FilterDatabase">review_assignments!$A$1:$H$83</definedName>
    <definedName hidden="1" localSheetId="0" name="Z_08B983F1_059D_45E6_9469_C220E114CF02_.wvu.FilterData">review_assignments!$A$1:$H$83</definedName>
    <definedName hidden="1" localSheetId="0" name="Z_367F6482_00CA_4FE3_AC6F_40AAC86F5A5C_.wvu.FilterData">review_assignments!$A$1:$H$83</definedName>
    <definedName hidden="1" localSheetId="0" name="Z_FA04AEA4_6B32_41B2_BB4A_4029162B032C_.wvu.FilterData">review_assignments!$A$1:$H$83</definedName>
    <definedName hidden="1" localSheetId="0" name="Z_E10CB5DA_6921_4BA9_971D_6A9BC4FA725D_.wvu.FilterData">review_assignments!$A$1:$H$83</definedName>
    <definedName hidden="1" localSheetId="0" name="Z_6254CA12_838A_48EA_9DF4_50E4A048A783_.wvu.FilterData">review_assignments!$A$1:$H$22</definedName>
  </definedNames>
  <calcPr/>
  <customWorkbookViews>
    <customWorkbookView activeSheetId="0" maximized="1" windowHeight="0" windowWidth="0" guid="{08B983F1-059D-45E6-9469-C220E114CF02}" name="Isaiah View"/>
    <customWorkbookView activeSheetId="0" maximized="1" windowHeight="0" windowWidth="0" guid="{367F6482-00CA-4FE3-AC6F-40AAC86F5A5C}" name="Xinyuan View"/>
    <customWorkbookView activeSheetId="0" maximized="1" windowHeight="0" windowWidth="0" guid="{FA04AEA4-6B32-41B2-BB4A-4029162B032C}" name="Jiqing View"/>
    <customWorkbookView activeSheetId="0" maximized="1" windowHeight="0" windowWidth="0" guid="{E10CB5DA-6921-4BA9-971D-6A9BC4FA725D}" name="Som/Aditya View"/>
    <customWorkbookView activeSheetId="0" maximized="1" windowHeight="0" windowWidth="0" guid="{6254CA12-838A-48EA-9DF4-50E4A048A783}" name="View All"/>
  </customWorkbookViews>
</workbook>
</file>

<file path=xl/sharedStrings.xml><?xml version="1.0" encoding="utf-8"?>
<sst xmlns="http://schemas.openxmlformats.org/spreadsheetml/2006/main" count="384" uniqueCount="193">
  <si>
    <t>video_id</t>
  </si>
  <si>
    <t>filename</t>
  </si>
  <si>
    <t>reviewer</t>
  </si>
  <si>
    <t>prompt</t>
  </si>
  <si>
    <t>physical_plausibility_1_4</t>
  </si>
  <si>
    <t>description_of_issue</t>
  </si>
  <si>
    <t>physics_category</t>
  </si>
  <si>
    <t>action_completed</t>
  </si>
  <si>
    <t>Isaiah</t>
  </si>
  <si>
    <t>Scene: A beige-colored table surface occupies most of the scene with a blue cloth on its right side. The table is smooth and flat, with a noticeable smear of liquid near its center. The robot has two arms, both positioned over the table. The left arm is closer to the center of the table, while the right arm is near the blue cloth. The cloth appears textured and absorbent, and the table surface is partially wet.
Action: The robot wipes the cloth across the table surface.</t>
  </si>
  <si>
    <t>Rag moves across the table without the arm actually moving it.</t>
  </si>
  <si>
    <t>Causality</t>
  </si>
  <si>
    <t>yes</t>
  </si>
  <si>
    <t>Scene: A tabletop surface is visible, appearing smooth and light in color. On the right side of the table, there is a folded blue and white rag that looks textured and absorbent. Near the center of the table, there are small, scattered drops of water. Two robotic arms are positioned at the sides, with the left one closer to the center and the right one nearer to the rag. The table surface is smooth and the cloth is likely absorbent.
Action: The robot wipes the cloth across the table surface.</t>
  </si>
  <si>
    <t>no</t>
  </si>
  <si>
    <t>Scene: A beige table is in front of the robot with visible water droplets scattered across its surface. To the right of the droplets, there is a blue and white cloth that appears thick and absorbent. The robot has two metallic arms positioned at opposite sides of the table. The left arm hovers near the center while the right arm is positioned close to the cloth. The table's surface is smooth and wet, and the cloth looks textured and capable of absorbing liquid.
Action: The robot wipes the cloth across the table surface.</t>
  </si>
  <si>
    <t>Rag starts to move on its own without being touched, and fluid is moving without any physical reason</t>
  </si>
  <si>
    <t>Causality, Fluid</t>
  </si>
  <si>
    <t>Scene: A wooden table holds several items, including a translucent plastic cup filled with red liquid, a large clear syringe, a pair of blue-handled scissors, and a white plastic basket. The cup is positioned near the center of the table, with the syringe lying nearby to its right. Two robotic arms are visible, with one arm on the left side of the table and the other on the right side, positioned near the syringe. The table surface is smooth and dry.
Action: The robot grips the syringe and maneuvers it to draw liquid from the cup.</t>
  </si>
  <si>
    <t>Syringe morphs into the robot grippers hands.</t>
  </si>
  <si>
    <t>Collision, Deformation</t>
  </si>
  <si>
    <t>Scene: A white tabletop holds two transparent plastic containers, each partially filled with red liquid. A syringe with an orange plunger lies nearby, alongside some plastic and paper packaging. To the left, a robot arm equipped with a black gripper hovers near the containers, while another arm with a similar gripper is positioned near the syringe on the right. The containers are smooth and the liquid is likely water with food coloring.
Action: The robot places the syringe into one of the containers and draws liquid into the syringe.</t>
  </si>
  <si>
    <t>Syringe floats into grippers hand and fills with liquid wihtout being drawn</t>
  </si>
  <si>
    <t>Deformation, Gravity</t>
  </si>
  <si>
    <t>Scene: A white table holds a clear plastic cup filled with red liquid, approximately halfway full, positioned near the center. A large, transparent syringe is placed to the right of the cup on the table. A brown paper bag and a small potted plant are situated in the background near the window. Two robotic arms are positioned on either side of the table; the left arm is adjacent to the cup, while the right arm is near the syringe. The syringes and the surfaces appear dry and smooth, suitable for handling liquids.
Action: The robot uses a syringe to draw water from the plastic cup.</t>
  </si>
  <si>
    <t>Cup floats to the right of the table without being moved.</t>
  </si>
  <si>
    <t>Gravity, Momentum</t>
  </si>
  <si>
    <t>Scene: A robot with two humanoid arms is positioned in front of a dispenser. The dispenser is metallic and shiny, mounted on a smooth metal drip tray. A transparent plastic cup is held in one robotic hand, positioned below the dispenser nozzle. The other hand is steady near the tray. The metal surface of the dispenser and tray is reflective and dry.
Action: The robot moves the cup toward the dispenser nozzle, holds it there, and then moves it away.</t>
  </si>
  <si>
    <t>Scene: A transparent plastic cup is held by a robot's left gripper in front of a shiny metal drink dispenser. The dispenser has an orange liquid visible inside a clear container above a metal tap. The robot's right gripper is open and positioned near the cup, facing forward. The surface of the metal base and the area around the tap are dry and reflective.
Action: The robot positions the cup under the dispenser tap with one arm and brings it back after collecting the drink.</t>
  </si>
  <si>
    <t>Scene: A white thermos is positioned vertically on a flat, white surface. To the left of the thermos sits a pink cup lid, approximately half the height of the thermos. Two robotic arms are situated on either side of these objects, with the left arm closer to the cup lid and the right arm near the thermos. The thermos has a smooth, dry surface, and the cup lid is empty.
Action: The robot grasps the thermos with one hand, lifts it, and tips it over the cup lid.</t>
  </si>
  <si>
    <t>Scene: On a black table, there is a transparent glass Erlenmeyer flask in the center, approximately 10 cm tall. To the right of the flask are several test tubes in a rack made of clear plastic. A metallic robot arm is positioned near the right side of the flask, with its grippers open and slightly above the flask. Another beaker and a pipette are visible in the background on the left side. The flask appears to have a small amount of liquid inside, and its surface is smooth and dry.
Action: The robot grasps the flask, lifts it, shakes it three times, and places it back down on the table.</t>
  </si>
  <si>
    <t>Fluid in flask moves unrealistically</t>
  </si>
  <si>
    <t>Fluid</t>
  </si>
  <si>
    <t>Scene: A clear glass Erlenmeyer flask, approximately 15 cm tall, is positioned at the center of a black tabletop. To the left is a large clear beaker and a blue and silver apparatus. Towards the back are six thin glass test tubes in a holder, adjacent to a clear plastic rack. A light pink block sits nearby. Two robotic arms, metallic with gripping claws, are positioned on either side of the table, close to the flask. All surfaces appear dry and the glass is smooth and empty.
Action: The robot grips the Erlenmeyer flask, lifts it slightly, shakes it three times, and then sets it down.</t>
  </si>
  <si>
    <t>Flask floats and shakes without being touched. Fluid does not move inside the flask while it is moving.</t>
  </si>
  <si>
    <t>Gravity, Contact</t>
  </si>
  <si>
    <t>Scene: A rectangular wooden table holds a clear glass teapot and an empty glass cup. The teapot, filled with a dark liquid, has a metal lid and a textured surface pattern. The glass cup is cylindrical and positioned in front of the teapot. Two robotic arms, one on each side of the cup, are poised near the objects. The surface of the table is smooth and dry, and the teapot is full.
Action: The robot lifts the teapot, angles it over the cup, and begins pouring.</t>
  </si>
  <si>
    <t xml:space="preserve">Fluid takes too long to start pouring out of the cup. </t>
  </si>
  <si>
    <t>Scene: A large, rectangular, stainless steel sink is positioned in the center of a white countertop. Adjacent to the sink, a metallic faucet is mounted vertically, with a sleek, shiny appearance. A robotic arm, black with multiple joints and a gripper, is holding a white pan over the left basin of the sink. The countertop surface is smooth and dry, and no water is present at the moment.
Action: The robot moves the pan under the faucet, activates the water, and moves the pan to a position on the countertop.</t>
  </si>
  <si>
    <t>Water pours from the spout without being turned on. Water is not being collected into the pan, and the robot artm morphs into a different shape.</t>
  </si>
  <si>
    <t>Fluid, Deformation, Causality</t>
  </si>
  <si>
    <t>Scene: A white countertop is situated at waist height. On the counter, a tall wine glass with a reddish liquid occupies the left side, next to a metallic mug and two polka-dotted plates. Several pieces of paper rest nearby. Two robotic arms are positioned over the table, one holding a patterned cloth. The cloth appears textured and absorbent, and the table surface is smooth.
Action: The robot wipes the cloth across the surface of the table.</t>
  </si>
  <si>
    <t>The rag repeatedly passes through the glass without moving it. Rag seems to act too rigid</t>
  </si>
  <si>
    <t>Scene: A rectangular white table holds a medium-sized, light-colored towel with a black grid pattern. The towel is laid out flat in the center of the table. A robotic gripper, made of black metal and equipped with multiple fingers, is positioned to the left of the towel, slightly above the table surface. The table and towel are dry, with the towel appearing to be absorbent and textured.
Action: The robot grips the edges of the towel and performs a folding motion.</t>
  </si>
  <si>
    <t>The left gripper morphs into another shape. Then the rag seems to morph into itself, and doesn't fold realistically.</t>
  </si>
  <si>
    <t>Deformation, Collision</t>
  </si>
  <si>
    <t>Scene: A white, rectangular table holds a light-colored towel with a black grid pattern. The towel is roughly rectangular and laid flat on the table. One robotic arm, positioned at the left side of the towel, has black and metallic components and is extended toward the towel. The towel's surface appears smooth and its fabric looks soft and flexible.
Action: The robot lifts the towel by its edges and folds it.</t>
  </si>
  <si>
    <t>The robot gripper morphs into another shape. The cloth begins to slide unrealistically.</t>
  </si>
  <si>
    <t>Deformation, Causality</t>
  </si>
  <si>
    <t>Scene: A yellow and red foam ball sits on a white tabletop. To the right of the ball is a black rectangular object, possibly a tray or mat. The table surface appears smooth and dry, with a transparent sheet covering part of it on the left. Two robotic arms are positioned below and slightly to the front of the tabletop, with one closer to the foam ball. The foam ball's squeezable texture is important for the upcoming action.
Action: The robot squeezes the foam ball with one of its hands.</t>
  </si>
  <si>
    <t>The ball slightly moves on its own without being touched.</t>
  </si>
  <si>
    <t>Causality, Momentum</t>
  </si>
  <si>
    <t>Scene: A white table surface holds a round, beige, soft-looking toy on the right side. The toy appears to be made of a flexible material, possibly foam or a similar deformable substance. Two robotic arms are positioned below the table, each with black and white components, poised for action. The surface of the toy is smooth and likely to compress easily under pressure.
Action: The robot squeezes the toy with its hands.</t>
  </si>
  <si>
    <t>The toy begins to morph into an unrealistic shape and begins moving withouth cause.</t>
  </si>
  <si>
    <t>Scene: A black plastic bag with a white logo is situated on a light-colored surface. The bag has dimensions that fit within the workspace of the robot arms. Two robotic arms with black and silver components are positioned on either side of the bag. The surface of the bag appears glossy, reflecting light, and the material is thin and flexible.
Action: The robot presses down on the plastic bag from both sides with its hands.</t>
  </si>
  <si>
    <t>Scene: A rectangular table surface, light beige in color, holds three towels. A green towel lies on the left side, a pink towel is in the center with a teddy bear design, and a blue towel is folded on the right side. The robot's left arm is positioned near the green towel while the right arm is closer to the pink one. The towels appear soft, textured, and dry, indicating absorbent properties.
Action: The robot lifts the pink towel with its right arm, folds it, and sets it aside.</t>
  </si>
  <si>
    <t>The right gripper morphs into a hand shape, and the cloth moves slightly unrealistically.</t>
  </si>
  <si>
    <t>Deformation, Contact</t>
  </si>
  <si>
    <t>Scene: A light beige table has three cloth items spread out. The central cloth is pale pink, medium-sized, and lies flat. On the left, a green towel is partially folded and positioned near the robot's left arm. On the right, a beige towel is stacked neatly and located close to the robot's right arm. Both robotic arms, metallic and equipped with gripping mechanisms, are positioned near the towels. The cloths appear textured and absorbent, suitable for manipulation.
Action: The robot lifts the pink cloth and begins folding it.</t>
  </si>
  <si>
    <t>Contact is not properly made with the cloth when it begins to fold. The cloth folds into an impossible shape.</t>
  </si>
  <si>
    <t>Contact, Deformation</t>
  </si>
  <si>
    <t>Jiqing</t>
  </si>
  <si>
    <t>Scene: A wooden table occupies the center of the area, its surface smooth and dry. A piece of green cloth lies flat on the table, about a foot square, and appears textured and absorbent. Two robotic arms are positioned in front of the table. The left arm hovers over the edge of the cloth, while the right arm is positioned to the side, slightly above the table. Both arms are metallic and jointed, designed for precise manipulation.
Action: The robot pinches the edges of the cloth and begins to fold it in half along its length.</t>
  </si>
  <si>
    <t>The deformation around the fold looks unnatural when the cloth is folded</t>
  </si>
  <si>
    <t>Scene: A small table with a light wood grain surface is present in a well-lit room. A grayish-green cloth lies flat, roughly in the center of the table. The cloth is rectangular and appears to be about the size of a hand towel. Two robotic arms are positioned at opposite sides of the table, with their hands hovering above the table surface near the ends of the cloth. The surface of the table is smooth and the cloth looks textured and possibly absorbent.
Action: The robot grips the cloth at two corners and folds it in half lengthwise.</t>
  </si>
  <si>
    <t>The deformation doesn't look natural after the cloth is folded.</t>
  </si>
  <si>
    <t>Scene: A wooden table is positioned in front of a white curtain. On the table lies a piece of crumpled white paper. The paper is approximately the size of an A4 sheet. Two robotic arms with metallic surfaces are positioned on either side of the paper, palms facing downwards. The surface of the paper is dry and slightly textured, while the table is smooth.
Action: The robot uses both arms to crumple and then flatten the paper.</t>
  </si>
  <si>
    <t>The paper begins to deform before it is actually crumpled, indicating incorrect deformation timing.</t>
  </si>
  <si>
    <t>Scene: A light wooden table is in the center of the scene. Three strands of yellow rope, each about 2 feet in length, lie on the table, knotted at the ends. The left robot arm, featuring a black gripper, is positioned near the leftmost strand. The right robot arm, identical in appearance, is positioned near the rightmost strand. The table surface is smooth and dry, providing minimal friction for the ropes.
Action: The robot weaves the strands together and then unravels them.</t>
  </si>
  <si>
    <t>The strands move without being touched</t>
  </si>
  <si>
    <t>Scene: A pair of light-colored shorts is laid out flat on a textured, dark gray fabric surface, resembling a bed. The shorts appear to be made from a soft, fabric material, approximately medium-sized. Two robotic arms are positioned on either side of the shorts. The left robotic arm hovers near the left side of the shorts, while the right arm is near the right side. The fabric seems smooth and structured, which is important for manipulation.
Action: The robot folds each side of the shorts towards the center.</t>
  </si>
  <si>
    <t>The shorts deform a little bit unnatural when being folded</t>
  </si>
  <si>
    <t>Scene: A rectangular table is set up with several objects. On the left side, a tan boot, a red apple, and a yellow banana are placed on the surface. In the middle of the table, a transparent bag with a greenish tint, approximately the size of a small shoebox, lays flat. To the right, there is a set of stacked plates held in a wooden rack. Two robotic arms with black grippers are positioned near the table, aligning with the bag. The material of the bag appears smooth and dry.
Action: The robot grips the zipper tab of the bag and slides it across the bag's edge.</t>
  </si>
  <si>
    <t>Scene: A white table holds three cubic blocks. The blocks are colored green, yellow, and red, and are made of plastic, each approximately the size of a fist. The green block is on the left, the yellow block is in front of it, and the red block is on the right. There is a strip of black tape on the table surface between the yellow and red blocks. A pair of robotic arms with black grippers are positioned to either side of the blocks. The surface of the table is smooth and dry.
Action: The robot lifts the yellow block, places it on the black tape, then lifts the green block and places it on top of the yellow block, and finally places the red block on top of the stack.</t>
  </si>
  <si>
    <t>The blocks follow unrealistic trajectory when lifted, appearing to be pulled upward rather than physically picked up.</t>
  </si>
  <si>
    <t>Scene: A white tabletop displays three cubic blocks: one red, one yellow, and one green. Each block is approximately similar in size, made of a solid material. The red block is to the left, the green block is to the right, and the yellow block is further back towards the center. A strip of black tape is placed in the center of the table. Two robotic arms are positioned above the table, with one on each side of the tape. The table's surface is smooth and dry.
Action: The robot lifts the red block, moves it above the black tape, and places it down.</t>
  </si>
  <si>
    <t>Scene: A white table surface has three cubic blocks scattered on it. There is a green block on the left side, a yellow block in front of the green one, and a red block to the right. Each block is approximately the same size and made of a solid, likely plastic material. A strip of black tape is positioned on the table. Two robotic arms, one on either side, are poised near the blocks. The table surface is smooth and dry.
Action: The robot picks up each block and stacks them on the black tape.</t>
  </si>
  <si>
    <t>One cube turned into two cubes, the cube also deformed a little bit after being lifted.</t>
  </si>
  <si>
    <t>Deformation</t>
  </si>
  <si>
    <t>Scene: The scene features three colored blocks: a red block, a green block, and a yellow block. The blocks are made of plastic and are roughly cube-shaped, each about the size of a child's building block. They are arranged on a wooden table in a line, with a small black square object also present. Two robotic arms are positioned in front of the blocks; one arm is on the left side of the yellow block, and the other is on the right side of the red block. The table surface is smooth and dry, providing a stable platform for manipulation.
Action: The robot picks up the blocks one by one and places them carefully on top of one another.</t>
  </si>
  <si>
    <t>The blocks appear to stick to the robot's finger without being properly grasped, the blocks also deform a little bit.</t>
  </si>
  <si>
    <t>Deformation, Momentum</t>
  </si>
  <si>
    <t>Scene: A wooden table holds three small, colorful blocks and one black square object. The red block is positioned to the right, the green block in the middle, and the yellow block to the left. Two robotic arms are positioned at the table's edge, one on the left and the other on the right, both directed toward the blocks. The table surface is smooth and dry, suitable for manipulation tasks.
Action: The robot picks up the blocks and arranges them vertically.</t>
  </si>
  <si>
    <t>One block disapears, the other one deforms.</t>
  </si>
  <si>
    <t>Scene: A tabletop is visible with two cubes present. One cube, blue and translucent, is already on the table and measures roughly 10 cm across each side. The second cube, similar in size, material, and color, is held by a robotic gripper. The robot arm is positioned above the tabletop with the gripper directly above the first cube. The surface of the table is smooth and flat.
Action: The robot places the cube from its gripper on top of the one already on the table.</t>
  </si>
  <si>
    <t>The appearance of the cube surface changes when dropped on the other cube.</t>
  </si>
  <si>
    <t>Scene: A robot arm with a metallic finish is positioned on the left side of the scene, reaching towards two stacked cubes. The top cube is small, light blue, and appears to be made of a textured material covered in shiny wrapping. The bottom cube is larger, also light blue, wrapped similarly, and sits firmly on a flat white surface. Both cubes have smooth but slightly reflective surfaces. The surface beneath the cubes is dry and smooth, allowing for ease of manipulation.
Action: The robot lifts the top cube from the stack.</t>
  </si>
  <si>
    <t>The cube is not contacting with the robot's finger properly when first lifted</t>
  </si>
  <si>
    <t>Scene: A white table surface is in view, with a strip of grey duct tape adhered flatly to its surface. To the right of the tape is a small grey basket containing a hammer with a blue handle wrapped in a yellow cloth. The basket is made of plastic with a mesh-like texture. Two black and white robotic arms are positioned in front, one on either side, poised to interact with the objects. The table surface is smooth and dry.
Action: The robot grips the hammer by its handle, lifts it, and brings it down onto the table.</t>
  </si>
  <si>
    <t>The yellow cloth and the robot hand deforms, and overlap unrealistically.</t>
  </si>
  <si>
    <t>Scene: A white table surface extends across the scene with two robotic arms positioned at the bottom. A metallic hammer with a blue handle is resting on a grey basket near the right side of the table. The hammer's head is partially wrapped in a yellow cloth secured with rubber bands. To the left, strips of silver duct tape are neatly applied, creating a smooth and shiny texture. The table is dry and textured, suggesting resistance to the anticipated impact.
Action: The robot grasps the hammer, lifts it, and swings it down toward the surface.</t>
  </si>
  <si>
    <t>The grey basket deforms when the hammer is lifted.</t>
  </si>
  <si>
    <t>Scene: A white tabletop is visible with a beige tape cross in the center. On the right side of the table, there is a yellow rubber duck, approximately the size of a small fist. Next to the duck is a robot arm with a claw-like gripper positioned close to the duck's left side. The table is smooth and dry, suitable for sliding objects across its surface.
Action: The robot moves its arm to push the duck across the tabletop.</t>
  </si>
  <si>
    <t>The duck doesn't contact with the robot finger properly but still changes location.</t>
  </si>
  <si>
    <t>Momentum</t>
  </si>
  <si>
    <t>Scene: A blue plastic cup sits on top of a black cylindrical platform to the upper left of the scene. A purple plastic cup is positioned towards the center of the black table surface. The robot's left arm is near the blue cup, while the right arm is closer to the purple cup. Both robot arms have grippers poised for action. The cups appear smooth and dry, suitable for being handled by the robot's grippers.
Action: The robot uses its gripper to pick up the purple cup and lightly tap it against the blue cup.</t>
  </si>
  <si>
    <t>Scene: A blue cup is positioned on a black cylindrical stand, with a purple cup placed directly in front of it on a black tablecloth. Two robotic arms with grippers are present, one on each side of the table. The left arm is close to the purple cup, and the right arm is near the blue cup. The cups are empty, and the table surface appears smooth and flat.
Action: The robot uses its left gripper to grasp the purple cup and taps it against the blue cup.</t>
  </si>
  <si>
    <t>Scene: Three plastic cups are on a black table. The cups are yellow, blue, and purple in color, and they are arranged linearly from left to right. Each cup is approximately medium-sized. Two robot arms are positioned on the left and right sides of the table, with one ready to engage with the cups. The surface of the table is smooth and dry.
Action: The robot uses one arm to pick up each cup and place them one inside the other in sequence.</t>
  </si>
  <si>
    <t>The cups deform when lifted.</t>
  </si>
  <si>
    <t>Scene: A purple block and a green block, both rectangular and each approximately 5 inches tall, are lying separately on a smooth, black, dry table surface. The purple block is closer to the left robot arm, while the green block is nearer to the right robot arm. The left robot arm is positioned near the purple block, and the right robot arm is near the green block. The table is stable and provides a non-porous surface for manipulation.
Action: The robot grips the purple block with its left arm and moves it to the table surface.</t>
  </si>
  <si>
    <t>The one of the robot fingers move unnaturally.</t>
  </si>
  <si>
    <t>Scene: A table with a smooth, dry surface is holding three paper cups. The cups are beige and appear lightweight. They are placed upright and are roughly the same size, lined up in a triangular arrangement. The robot's arms are positioned near the cups, one on the left and the other on the right, equipped with gripping tools that are ready to engage.
Action: The robot uses its arms to grasp a paper cup and place it on top of another cup.</t>
  </si>
  <si>
    <t>The cups are not grasped properly, but are still lifted. They appear to stick to the robot's finger</t>
  </si>
  <si>
    <t>Xinyuan</t>
  </si>
  <si>
    <t>Scene: On a flat, light-colored table, there are three bowls. A blue bowl is on the left, a green bowl is in the center, and a pink bowl is on the right. Each bowl is made of smooth plastic and is roughly the same size. Two robotic arms with black grippers are positioned at the edges of the table, slightly above the surface. The table surface is dry and smooth, which will aid in the upcoming task.
Action: The robot picks up the green bowl and places it on top of the blue bowl.</t>
  </si>
  <si>
    <t>gripper bended where there's no joint</t>
  </si>
  <si>
    <t>Scene: A light wooden table occupies the center of the space. On the table, there is a brown glass cup containing a few small orange items. To the right of the cup, a rectangular woven basket sits, appearing empty. Two robotic arms with black and metallic features are positioned in front of the table, one on each side of the cup. The table surface is smooth and dry, and the basket is made of a firm woven material.
Action: The robot lifts the cup and tilts it over the basket.</t>
  </si>
  <si>
    <t>glass meltedand blended with the orange objects</t>
  </si>
  <si>
    <t>Scene: A beige wooden table is situated in the center with a wicker basket on the right edge. In the middle of the table, there is a transparent glass with a decorative print containing some items. The robot has two black and metallic arms positioned slightly apart, with the right arm closer to the basket and the left arm nearer to the glass. The glass is upright and made of smooth, transparent material.
Action: The robot tilts the glass over the basket.</t>
  </si>
  <si>
    <t>hand deformed unaturally</t>
  </si>
  <si>
    <t>Scene: A wooden table is centered in the space, with a light brown, woven basket on its right side. The basket appears empty and is rectangular in shape. A cylindrical, transparent glass with a yellow tint stands upright near the basket. The robot has two arms, both made of sleek black and metallic materials, positioned above the table. One arm is closer to the basket, while the other is nearer to the glass. The surface of the table is smooth and dry.
Action: The robot moves its arm toward the basket to begin the pouring motion.</t>
  </si>
  <si>
    <t>Scene: A light beige table holds a metallic bottle, silver in color, standing upright near its center. To the right of the bottle is a transparent plastic box with an open top. The box is rectangular and approximately half the height of the bottle. Two robotic arms are positioned near the table, each extending from either side, with grippers facing toward the objects. The bottle appears smooth, and the box is dry and empty.
Action: The robot grips the bottle, lifts it, and tips it over the box.</t>
  </si>
  <si>
    <t>bottle suddenly grew from the hand and disappeared lated</t>
  </si>
  <si>
    <t>Causality, Deformation, Contact, Collision</t>
  </si>
  <si>
    <t>Scene: A beige table surface holds a small, transparent rectangular plastic box on the right and a gray bottle with a red label in the center. The box is open and appears empty. Two robotic arms are positioned at the front of the table, with the left arm near the bottle and the right arm closer to the box. The surface is smooth and dry, crucial for accurate positioning.
Action: The robot grasps the bottle with its left arm, lifts it, and tips it over the open box.</t>
  </si>
  <si>
    <t>bottle pass through the hand</t>
  </si>
  <si>
    <t>Scene: A rectangular table with a smooth, light-colored surface has a medicine bottle and a translucent plastic box on it. The medicine bottle is cylindrical with a silver hue and stands upright near the center of the table. The plastic box is open and placed a short distance from the bottle. Two robotic arms with metallic and white components are positioned on either side of the bottle. The bottle cap is closed, and the surface of the table appears dry and flat.
Action: The robot grips the medicine bottle, unscrews the cap, and tips the bottle over the box.</t>
  </si>
  <si>
    <t>Scene: A round, beige paper plate sits on a smooth, white table. To the right of the plate, there is a partially opened plastic bag containing sunflower seeds, with the colors red, blue, and some text visible on the packaging. The robot has two arms positioned below the table, each with a metallic and black appearance, poised to engage with the items on the table. The table surface is dry and smooth, suitable for placing food items.
Action: The robot lifts the bag of sunflower seeds and tips it over the plate.</t>
  </si>
  <si>
    <t>hand just grasp the corner, the bag is floating; and it deformed from bottom up to top up at the end</t>
  </si>
  <si>
    <t>Contact, Deformation, Gravity, Momentum</t>
  </si>
  <si>
    <t>Scene: The setup involves a white table on which a beige paper plate is positioned centrally. To the right of the plate, there is a blue plastic bag containing sunflower seeds, partially crumpled and standing upright. Two robotic arms are positioned below the table edge, one slightly to the left and the other to the right, both angled towards the objects. The surface of the table is smooth and dry, and the bag with seeds appears moderately filled.
Action: The robot grasps the seed bag, lifts it over the plate, and tips it to pour seeds onto the plate.</t>
  </si>
  <si>
    <t>thrid hand grew from the right hand and finished the task</t>
  </si>
  <si>
    <t>Scene: A pink ceramic bowl approximately 8 inches in diameter is positioned on a flat, black surface. A purple plastic cup, around 4 inches tall, sits a few inches to the right of the bowl. The left robotic arm is slightly above and to the left of the bowl, while the right arm is near the cup, poised to interact with it. The surface is dry, and the cup appears roughly half-full of small objects, possibly mung beans.
Action: The robot grasps the cup, lifts it, and tilts it over the bowl.</t>
  </si>
  <si>
    <t>Scene: A purple plastic cup filled with mung beans is positioned on a black table to the right. A white bowl, larger than the cup, is placed to the left of the cup. Two robotic arms flank the setup, one on each side, with the right arm closer to the cup. The surface of the table is dry and smooth, while the cup is nearly full of beans.
Action: The robot picks up the cup with its arm and tips it over the bowl.</t>
  </si>
  <si>
    <t>Scene: A robot arm with a blue and gray color scheme is positioned over a wooden table. On the table, there is a white mug roughly the size of a standard coffee cup. The mug is sitting upright in front of the robot arm. The robot is holding a small brown cup-like container in its gripper. The table is smooth and dry with several metal tracks embedded in it.
Action: The robot tilts the container to pour its contents into the mug.</t>
  </si>
  <si>
    <t>coffee pouring out from the middle of the cup, not from the opening</t>
  </si>
  <si>
    <t>Collision, Fluid</t>
  </si>
  <si>
    <t>Scene: A white table surface holds two objects. To the left, there is a closed notebook with a black and blue cover, approximately A5 in size. To the right, a red tape dispenser is placed on top of a small black square mat. The robot's arms are positioned below the table surface, with the left arm slightly closer to the notebook and the right arm aligned with the tape dispenser. The table surface is smooth and dry, offering little friction.
Action: The robot pushes the tape dispenser toward the notebook.</t>
  </si>
  <si>
    <t>Scene: A white desk supports two main objects. On the left side, there is a red tape dispenser holding blue tape, approximately medium-sized and made of plastic. On the right side, a small transparent container with a label on top sits on a black rectangular pad. The robot has two arms positioned in front of the desk, both oriented toward the objects. The desk surface is dry and smooth.
Action: The robot pushes the transparent box from the left to the right side of the desk next to the tape dispenser.</t>
  </si>
  <si>
    <t>Scene: A grey rectangular pencil case is positioned on the right side of a white tabletop. A grey, mesh-like container with an open top is situated on the left side of the table. Both objects are medium-sized and are placed with some distance between them. A robot with two visible arms is positioned in front of the table, with its hands poised near the pencil case. The surface of the table is smooth and dry, providing an even area for manipulation.
Action: The robot pushes the pencil case towards the mesh container.</t>
  </si>
  <si>
    <t>thrid hand grew from the right hand and pencil case deformed with nothing touching it</t>
  </si>
  <si>
    <t>Causality, Contact, Deformation</t>
  </si>
  <si>
    <t>Scene: A small green pool table is situated on a glossy, dark marbled surface. The table, approximately 30 cm long, has holes at each corner. On the table are three pool balls: a red ball near a corner pocket, and blue and black balls near the center. A wooden cue stick lies diagonally across the table. One robotic arm is positioned close to the pool cue, appearing to be metallic and equipped with a gripper. The surface is smooth and dry, facilitating easy movement of the pool balls.
Action: The robot grips the cue stick and swings it toward the red pool ball.</t>
  </si>
  <si>
    <t>pool ball grew from the hand and the movement is unatural</t>
  </si>
  <si>
    <t>Causality, Collision, Deformation, Momentum, Friction</t>
  </si>
  <si>
    <t>Scene: A small green pool table sits on a metallic surface. It contains two pool balls, one striped in blue and one in white. A wooden pool cue is lying nearby, parallel to the edge of the table. A robotic arm is positioned near the cue, with its gripper hovering just above it. The metallic surface is smooth and dry.
Action: The robot grips the pool cue, lifts it, and swings it toward a pool ball on the table.</t>
  </si>
  <si>
    <t>robot arm broke unaturally and balls changed from white to pool balls</t>
  </si>
  <si>
    <t>Causality, Collision, Contact, Deformation, Gravity</t>
  </si>
  <si>
    <t>Scene: The setup includes a grey conveyor belt connected to a table on the left side. A wire shelf holds various items like colorful snack bags and plastic bottles. The snack bags are red, green, and pink, and each bottle has a blue or yellow cap, containing orange, green, and black liquids. Two robotic arms are positioned on either side of the conveyor belt. The items are dry, and the packaging is smooth. The bottles are fitted with closed caps.
Action: The robot arm on the left side picks up a snack bag from the shelf and places it onto the conveyor belt.</t>
  </si>
  <si>
    <t>snack bag changed appearance suddenly</t>
  </si>
  <si>
    <t>Causality, Contact, Deformation, Gravity</t>
  </si>
  <si>
    <t>Scene: A conveyor belt with a green surface runs horizontally across the left side of a metal grid table. On the table, there are several snack bags in red, green, and pink, and a variety of bottles, including a yellow one and a black one with a red cap. The robot's arms are positioned near the table and conveyor belt, with one arm holding a gripper above the black bottle. The surface of the conveyor and table is smooth and dry.
Action: The robot picks up the bottle from the table and places it on the conveyor belt.</t>
  </si>
  <si>
    <t>hand grasp the bottle without touching it</t>
  </si>
  <si>
    <t>Causality, Contact, Gravity</t>
  </si>
  <si>
    <t>Scene: A blue sponge is positioned on a white tabletop. The table is dry and has a smooth surface. Two robot arms are in front of the sponge, approximately shoulder-width apart, poised to perform an action. The sponge is soft and absorbent, suitable for wiping.
Action: The robot picks up the sponge and wipes it across the tabletop.</t>
  </si>
  <si>
    <t>looks like sponge is not touching the table or no force applied but it wiped the marker</t>
  </si>
  <si>
    <t>Friction</t>
  </si>
  <si>
    <t>Som/Aditya</t>
  </si>
  <si>
    <t>Scene: A white table occupies the central area, with a green eraser placed near the middle. The eraser is rectangular, compact, and seems to be made of a rubbery material. To the left of the eraser is a shiny, transparent surface, likely a plastic sheet affixed to the table. A robotic arm, metallic with black and white segments, is positioned close to the table near the eraser. The table surface appears smooth and dry.
Action: The robot wipes the eraser across the plastic sheet on the table.</t>
  </si>
  <si>
    <t>eraser moving on its own</t>
  </si>
  <si>
    <t>Causality, Momentum, Friction</t>
  </si>
  <si>
    <t>Scene: A robot is positioned near a large vertical window, which appears transparent and smooth. The robot's arm extends toward the window, holding a gray, textured duster that is fluffy and likely absorbent. The duster is roughly the size of a forearm and attached to a dark plastic handle. The setting includes a tiled floor beneath the window. The window surface is dry and smooth, essential for the task at hand.
Action: The robot wipes the duster across the window surface.</t>
  </si>
  <si>
    <t>robot using a duster to clean the board</t>
  </si>
  <si>
    <t>Causality, Contact</t>
  </si>
  <si>
    <t>Scene: A rectangular wooden table holds a white dry-erase board in its center. The board has red and green marker scribbles on it. Nearby, to the right of the board, a small blue eraser is placed. The robot has two metallic arms: the left arm is positioned slightly toward the board and the right arm is close to the blue eraser. The dry-erase board has a smooth, dry surface, and the eraser appears to be textured and suitable for wiping.
Action: The robot grasps the eraser with its right hand and wipes it across the board.</t>
  </si>
  <si>
    <t>robot trying to erase but random marking appear on board</t>
  </si>
  <si>
    <t>Scene: A robot is positioned in front of a whiteboard, which is attached to a beige tabletop. The whiteboard is approximately 30 inches wide and 20 inches tall, with red and blue markings on its smooth surface. Sitting on the table to the right of the whiteboard is a blue eraser, about 4 inches long. The robot's right arm is extended towards the eraser, while the left arm is positioned next to the left edge of the whiteboard. The whiteboard has a dry surface suitable for erasing.
Action: The robot moves its right arm to grasp the blue eraser and wipes it across the surface of the whiteboard.</t>
  </si>
  <si>
    <t>robot erases marking on board</t>
  </si>
  <si>
    <t>Contact</t>
  </si>
  <si>
    <t>Scene: On a wooden table, a pile of cooked shrimp is situated on a gray mat. Next to the shrimp, there is a white, round plastic container. To the right of the shrimp, a brown towel lies flat, made of a textured and absorbent material. Nearby, a large, open takeout bag is set upright, displaying a red and white pattern. The robot's arms are positioned in front of the shrimp and towel, ready to initiate movement. The shrimp and table surface are dry, and the towel is textured and suitable for gathering small objects.
Action: The robot uses the towel to sweep the shrimp into the container, then places the container into the takeout bag.</t>
  </si>
  <si>
    <t>robot places shrimpts into a bowl but one shrimpt disappears also the bowl movemenrs looks incorrect</t>
  </si>
  <si>
    <t>Scene: A bathroom features a large mirror mounted above a brown marble sink counter. The counter holds a white towel, a liquid soap dispenser, and a small potted plant. The towel is folded neatly on the right side of the sink. Two metallic robot arms are positioned in front of the counter, with the left arm located closer to the towel. The sink is empty and the mirror surface is clear and reflective.
Action: The robot picks up the towel and moves it to wipe across the mirror surface.</t>
  </si>
  <si>
    <t xml:space="preserve">robot picks up a towl and moves it across the mirror </t>
  </si>
  <si>
    <t>Scene: A rectangular table with a light wood surface hosts several items. A turquoise cloth lies flat on the right side, next to a dark-colored robotic arm. In the center, there is a transparent glass containing a red liquid. A small stain is visible on the table surface in front of the glass. Another robotic arm is positioned close to these objects. The cloth looks textured and absorbent, and the table has a smooth surface.
Action: The robot picks up the cloth and moves it across the table surface.</t>
  </si>
  <si>
    <t>towel and items on the table surface move on its own</t>
  </si>
  <si>
    <t>Scene: The scene features a round, white table with a small, brown, ceramic vase positioned at the top center. In the middle of the table, there is a transparent pink glass. Just below this, a small patch of liquid is visible on the table's surface. To the right of the glass, a folded yellow cloth lies on the table, appearing textured and absorbent. Two robotic arms are present, one on each side of the table. The left arm is positioned near the vase, and the right arm is closer to the cloth. The table surface looks smooth and free of texture, with a visible wet area near the glass.
Action: The robot reaches for the yellow cloth and wipes it across the liquid on the table surface.</t>
  </si>
  <si>
    <t>towel is very rigid and not moving</t>
  </si>
  <si>
    <t>Contact, Momentum</t>
  </si>
  <si>
    <t>Scene: A clear plastic ziploc bag with white and blue edges is situated at the center of a smooth, dark surface. The bag contains small, indistinct objects and is slightly opened at the top. Two robotic arms are positioned at either side of the bag, each with white exteriors and black gripping surfaces. The bag's material is flexible and smooth, allowing for easy manipulation.
Action: The robot slides its fingers along the top edges of the ziploc bag to open it.</t>
  </si>
  <si>
    <t>robot arms looked like it got an extra gripper</t>
  </si>
  <si>
    <t>Scene: A white toaster with two slots is on a table. To the right of the toaster is a blue plate holding a slice of bread. The robot has two mechanical arms; one arm is positioned above the bread while the other is near the toaster. The table surface is smooth and dry.
Action: The robot lifts the bread and places it into the toaster slot.</t>
  </si>
  <si>
    <t>bread flew away</t>
  </si>
  <si>
    <t>Scene: A white toaster is positioned on a table, with two slots visible on its top. A slice of bread can be seen partially inserted into one of the slots, with a red glow indicating the toaster is on. To the right of the toaster is a blue tray, approximately the size of a piece of letter paper. The robot has two metallic arms; the left arm is near the left side of the toaster, and the right arm is near the right side. The surface of the table is smooth and dry.
Action: The robot lifts the bread from the toaster and moves it over to the tray.</t>
  </si>
  <si>
    <t>Scene: A white toaster with two slots is sitting on a light-colored tabletop. To the right, there is a single piece of white bread resting on a rectangular blue tray. The tray is positioned with its longer side parallel to the toaster. The robot has two arms with black and silver components, both positioned near the bread, with one arm slightly closer to it. The surface of the table is dry and smooth, while the bread's surface appears textured and porous.
Action: The robot reaches toward the bread, grasps it, and moves it over the toaster slots.</t>
  </si>
  <si>
    <t>toaster moved in the begining and bread moved in the end without any external force.</t>
  </si>
  <si>
    <t>Momentum, Contact, Causality</t>
  </si>
  <si>
    <t>090_unitree_z1_dual_pour_coffee_ep0.mp4 (no Dropbox link found)</t>
  </si>
  <si>
    <t>No generated Video</t>
  </si>
  <si>
    <t>Scene: A wooden table holds a white coffee machine on the right. A gray tray sits to the left with a few droplets on its surface, and a transparent glass cup is near the center. A black robotic arm is positioned to the left of the cup, while another black arm is on the right. The glass cup is empty and dry, and the surface of the machine appears smooth and clean.
Action: The robot inserts a coffee capsule into the machine.</t>
  </si>
  <si>
    <t>Scene: A black electric kettle sits on a white table, approximately half a meter tall and made of smooth plastic. It is positioned in the center of the table, with its handle facing towards the right. A transparent plastic sheet lies on the table beside the kettle, slightly overlapping its base. Two robotic arms are visible in the foreground, with their fingers open and positioned below the table's edge. The kettle surface is smooth and dry, while the plastic sheet is smooth and slightly reflective.
Action: The robot moves its right arm forward to press the button on the electric kettle.</t>
  </si>
  <si>
    <t>The robot just pushes the kettle and never turns it on.</t>
  </si>
  <si>
    <t>Scene: A black electric kettle is positioned on a smooth, white countertop. The kettle is medium-sized and cylindrical, with a handle on one side. A robot arm is located near the kettle, with its gripper aligned with the handle. The kitchen setting includes a light wooden cabinet beneath the countertop. The kettle's surface is shiny and dry.
Action: The robot picks up the kettle, places it on a base, and flips the switch.</t>
  </si>
  <si>
    <t>The task is incomplete and the robot picks the kettle without grasping the handle.</t>
  </si>
  <si>
    <t>Scene: A white toilet with a closed lid is positioned against a light beige tile wall. To the left of the toilet is a shower enclosure with a glass door. On the floor next to the toilet, there is a red toilet brush with a black handle. Two robotic arms, metallic gray in color, extend towards the toilet from the perspective of the viewer. The surface of the toilet lid is smooth and dry.
Action: The robot lifts the toilet lid using one of its arms.</t>
  </si>
  <si>
    <t>The single lid splits into 2 lids upon contact and robot doesn't open it properly.</t>
  </si>
  <si>
    <t>Scene: A white toilet with a closed lid is centered against a tiled wall. A shower is on the left side, with a glass enclosure. The floor is tiled in beige, and a white toilet brush is lying on the tiles to the left of the toilet's base. A small control panel is attached to the left side of the toilet. The robot's arms, equipped with black and gray grippers, are positioned in front of the toilet, one on each side. The toilet lid is smooth and dry, suitable for manipulation.
Action: The robot lifts the toilet lid with one of its arms.</t>
  </si>
  <si>
    <t xml:space="preserve">The lid stretches out when the robot tries to open it. </t>
  </si>
  <si>
    <t>Deformation, Contact, Causality</t>
  </si>
  <si>
    <t>Scene: A metallic stovetop with a black frying pan sits on top of a stainless steel oven. To the right of the stove, a clear glass container partly filled with yellow oil is next to an orange bowl containing raw shrimp. A black robotic arm is positioned above the countertop, near the pan. The stovetop surface is smooth and the oil appears viscous.
Action: The robot grasps the shrimp with its gripper and places them into the pan.</t>
  </si>
  <si>
    <t>There is orange artifact attached on gripper which vanishes towards the end.</t>
  </si>
  <si>
    <t>Scene: A silver coffee machine sits centrally on a smooth black surface. In front of the machine, a small coffee capsule, beige in color, lies to the left. To the right of the machine, there is a transparent plastic cup. Two robotic arms are positioned on opposite sides, each with a three-finger gripper. The robot's left arm is near the coffee capsule, and the right arm is close to the cup. The surface appears dry and stable.
Action: The robot picks up the coffee capsule with its left arm, places it into the machine, and then pushes both the Hot Water and Travel Mug buttons.</t>
  </si>
  <si>
    <t>The gripper is moving and lifting the object without properly closing the gripper. And it doesn't press the buttons in the end.</t>
  </si>
  <si>
    <t>Contact, Causality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</si>
</sst>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xf>
    <xf borderId="0" fillId="0" fontId="3" numFmtId="0" xfId="0" applyFont="1"/>
    <xf borderId="0" fillId="0" fontId="1" numFmtId="0" xfId="0" applyAlignment="1" applyFont="1">
      <alignment shrinkToFit="0" wrapText="0"/>
    </xf>
    <xf borderId="0" fillId="0" fontId="1" numFmtId="0" xfId="0" applyFont="1"/>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6.75"/>
    <col customWidth="1" min="5" max="5" width="27.63"/>
    <col customWidth="1" min="6" max="6" width="28.88"/>
    <col customWidth="1" min="7" max="7" width="42.5"/>
    <col customWidth="1" min="8" max="8" width="25.75"/>
    <col customWidth="1" min="9" max="9" width="18.63"/>
  </cols>
  <sheetData>
    <row r="1">
      <c r="A1" s="1" t="s">
        <v>0</v>
      </c>
      <c r="B1" s="1" t="s">
        <v>1</v>
      </c>
      <c r="C1" s="1" t="s">
        <v>2</v>
      </c>
      <c r="D1" s="2" t="s">
        <v>3</v>
      </c>
      <c r="E1" s="1" t="s">
        <v>4</v>
      </c>
      <c r="F1" s="3" t="s">
        <v>5</v>
      </c>
      <c r="G1" s="1" t="s">
        <v>6</v>
      </c>
      <c r="H1" s="4" t="s">
        <v>7</v>
      </c>
      <c r="I1" s="4"/>
    </row>
    <row r="2">
      <c r="A2" s="1">
        <v>7.0</v>
      </c>
      <c r="B2" s="5" t="str">
        <f>HYPERLINK("https://www.dropbox.com/scl/fo/jzj47h8a229g145io0ze9/AM_CF7BhKPKNDC5_ut28Uxs/007_unitree_g1dex1_wipe_table_ep0.mp4?rlkey=f264349x7r2qw13k7eiwuyakb&amp;dl=0", "007_unitree_g1dex1_wipe_table_ep0.mp4")</f>
        <v>007_unitree_g1dex1_wipe_table_ep0.mp4</v>
      </c>
      <c r="C2" s="1" t="s">
        <v>8</v>
      </c>
      <c r="D2" s="2" t="s">
        <v>9</v>
      </c>
      <c r="E2" s="1">
        <v>1.0</v>
      </c>
      <c r="F2" s="3" t="s">
        <v>10</v>
      </c>
      <c r="G2" s="1" t="s">
        <v>11</v>
      </c>
      <c r="H2" s="1" t="s">
        <v>12</v>
      </c>
    </row>
    <row r="3">
      <c r="A3" s="1">
        <v>8.0</v>
      </c>
      <c r="B3" s="5" t="str">
        <f>HYPERLINK("https://www.dropbox.com/scl/fo/jzj47h8a229g145io0ze9/AN__3lsGrmU6lWpBn3k-De0/008_unitree_g1dex1_wipe_table_ep100.mp4?rlkey=f264349x7r2qw13k7eiwuyakb&amp;dl=0", "008_unitree_g1dex1_wipe_table_ep100.mp4")</f>
        <v>008_unitree_g1dex1_wipe_table_ep100.mp4</v>
      </c>
      <c r="C3" s="1" t="s">
        <v>8</v>
      </c>
      <c r="D3" s="2" t="s">
        <v>13</v>
      </c>
      <c r="E3" s="1">
        <v>4.0</v>
      </c>
      <c r="F3" s="6"/>
      <c r="G3" s="7"/>
      <c r="H3" s="1" t="s">
        <v>14</v>
      </c>
    </row>
    <row r="4">
      <c r="A4" s="1">
        <v>9.0</v>
      </c>
      <c r="B4" s="5" t="str">
        <f>HYPERLINK("https://www.dropbox.com/scl/fo/jzj47h8a229g145io0ze9/AEd40yIvHEZ70Tr9mqNW8_Y/009_unitree_g1dex1_wipe_table_ep199.mp4?rlkey=f264349x7r2qw13k7eiwuyakb&amp;dl=0", "009_unitree_g1dex1_wipe_table_ep199.mp4")</f>
        <v>009_unitree_g1dex1_wipe_table_ep199.mp4</v>
      </c>
      <c r="C4" s="1" t="s">
        <v>8</v>
      </c>
      <c r="D4" s="2" t="s">
        <v>15</v>
      </c>
      <c r="E4" s="1">
        <v>2.0</v>
      </c>
      <c r="F4" s="3" t="s">
        <v>16</v>
      </c>
      <c r="G4" s="1" t="s">
        <v>17</v>
      </c>
      <c r="H4" s="1" t="s">
        <v>14</v>
      </c>
    </row>
    <row r="5">
      <c r="A5" s="1">
        <v>10.0</v>
      </c>
      <c r="B5" s="5" t="str">
        <f>HYPERLINK("https://www.dropbox.com/scl/fo/jzj47h8a229g145io0ze9/AAbuFuhG1cVYJ8wCuQ-g-E4/010_unitree_g1dex1_syringe_water_transfer_ep0.mp4?rlkey=f264349x7r2qw13k7eiwuyakb&amp;dl=0", "010_unitree_g1dex1_syringe_water_transfer_ep0.mp4")</f>
        <v>010_unitree_g1dex1_syringe_water_transfer_ep0.mp4</v>
      </c>
      <c r="C5" s="1" t="s">
        <v>8</v>
      </c>
      <c r="D5" s="2" t="s">
        <v>18</v>
      </c>
      <c r="E5" s="1">
        <v>2.0</v>
      </c>
      <c r="F5" s="3" t="s">
        <v>19</v>
      </c>
      <c r="G5" s="1" t="s">
        <v>20</v>
      </c>
      <c r="H5" s="1" t="s">
        <v>14</v>
      </c>
    </row>
    <row r="6">
      <c r="A6" s="1">
        <v>11.0</v>
      </c>
      <c r="B6" s="5" t="str">
        <f>HYPERLINK("https://www.dropbox.com/scl/fo/jzj47h8a229g145io0ze9/AMkMn0VFZ_5NG-awYowTpr4/011_unitree_g1dex1_syringe_water_transfer_ep516.mp4?rlkey=f264349x7r2qw13k7eiwuyakb&amp;dl=0", "011_unitree_g1dex1_syringe_water_transfer_ep516.mp4")</f>
        <v>011_unitree_g1dex1_syringe_water_transfer_ep516.mp4</v>
      </c>
      <c r="C6" s="1" t="s">
        <v>8</v>
      </c>
      <c r="D6" s="2" t="s">
        <v>21</v>
      </c>
      <c r="E6" s="1">
        <v>2.0</v>
      </c>
      <c r="F6" s="3" t="s">
        <v>22</v>
      </c>
      <c r="G6" s="1" t="s">
        <v>23</v>
      </c>
      <c r="H6" s="1" t="s">
        <v>12</v>
      </c>
    </row>
    <row r="7">
      <c r="A7" s="1">
        <v>12.0</v>
      </c>
      <c r="B7" s="5" t="str">
        <f>HYPERLINK("https://www.dropbox.com/scl/fo/jzj47h8a229g145io0ze9/AND62OqK3svRsBdCRxE9WuU/012_unitree_g1dex1_syringe_water_transfer_ep1033.mp4?rlkey=f264349x7r2qw13k7eiwuyakb&amp;dl=0", "012_unitree_g1dex1_syringe_water_transfer_ep1033.mp4")</f>
        <v>012_unitree_g1dex1_syringe_water_transfer_ep1033.mp4</v>
      </c>
      <c r="C7" s="1" t="s">
        <v>8</v>
      </c>
      <c r="D7" s="2" t="s">
        <v>24</v>
      </c>
      <c r="E7" s="1">
        <v>3.0</v>
      </c>
      <c r="F7" s="3" t="s">
        <v>25</v>
      </c>
      <c r="G7" s="1" t="s">
        <v>26</v>
      </c>
      <c r="H7" s="1" t="s">
        <v>14</v>
      </c>
    </row>
    <row r="8">
      <c r="A8" s="1">
        <v>14.0</v>
      </c>
      <c r="B8" s="5" t="str">
        <f>HYPERLINK("https://www.dropbox.com/scl/fo/jzj47h8a229g145io0ze9/AOVLDc9s0VbbKZrgYyee66E/014_unitree_g1edu_u3_pour_drink_ep648.mp4?rlkey=f264349x7r2qw13k7eiwuyakb&amp;dl=0", "014_unitree_g1edu_u3_pour_drink_ep648.mp4")</f>
        <v>014_unitree_g1edu_u3_pour_drink_ep648.mp4</v>
      </c>
      <c r="C8" s="1" t="s">
        <v>8</v>
      </c>
      <c r="D8" s="2" t="s">
        <v>27</v>
      </c>
      <c r="E8" s="1">
        <v>4.0</v>
      </c>
      <c r="F8" s="3"/>
      <c r="G8" s="7"/>
      <c r="H8" s="1" t="s">
        <v>12</v>
      </c>
    </row>
    <row r="9">
      <c r="A9" s="1">
        <v>15.0</v>
      </c>
      <c r="B9" s="5" t="str">
        <f>HYPERLINK("https://www.dropbox.com/scl/fo/jzj47h8a229g145io0ze9/AFJUpGPhaOjgH98XQU17Tz0/015_unitree_g1edu_u3_pour_drink_ep1297.mp4?rlkey=f264349x7r2qw13k7eiwuyakb&amp;dl=0", "015_unitree_g1edu_u3_pour_drink_ep1297.mp4")</f>
        <v>015_unitree_g1edu_u3_pour_drink_ep1297.mp4</v>
      </c>
      <c r="C9" s="1" t="s">
        <v>8</v>
      </c>
      <c r="D9" s="2" t="s">
        <v>28</v>
      </c>
      <c r="E9" s="1">
        <v>4.0</v>
      </c>
      <c r="F9" s="6"/>
      <c r="G9" s="7"/>
      <c r="H9" s="1" t="s">
        <v>12</v>
      </c>
    </row>
    <row r="10">
      <c r="A10" s="1">
        <v>16.0</v>
      </c>
      <c r="B10" s="5" t="str">
        <f>HYPERLINK("https://www.dropbox.com/scl/fo/jzj47h8a229g145io0ze9/AEdwHXwv45OW0a3ZOzuQEy0/016_ai2_alphabot_2_pour_water_ep0.mp4?rlkey=f264349x7r2qw13k7eiwuyakb&amp;dl=0", "016_ai2_alphabot_2_pour_water_ep0.mp4")</f>
        <v>016_ai2_alphabot_2_pour_water_ep0.mp4</v>
      </c>
      <c r="C10" s="1" t="s">
        <v>8</v>
      </c>
      <c r="D10" s="2" t="s">
        <v>29</v>
      </c>
      <c r="E10" s="1">
        <v>4.0</v>
      </c>
      <c r="F10" s="6"/>
      <c r="G10" s="7"/>
      <c r="H10" s="1" t="s">
        <v>14</v>
      </c>
    </row>
    <row r="11">
      <c r="A11" s="1">
        <v>17.0</v>
      </c>
      <c r="B11" s="5" t="str">
        <f>HYPERLINK("https://www.dropbox.com/scl/fo/jzj47h8a229g145io0ze9/AFMBwMRuC9cr_P8_nIeV8ug/017_ai2_alphabot_2_shake_bottle_ep0.mp4?rlkey=f264349x7r2qw13k7eiwuyakb&amp;dl=0", "017_ai2_alphabot_2_shake_bottle_ep0.mp4")</f>
        <v>017_ai2_alphabot_2_shake_bottle_ep0.mp4</v>
      </c>
      <c r="C11" s="1" t="s">
        <v>8</v>
      </c>
      <c r="D11" s="2" t="s">
        <v>30</v>
      </c>
      <c r="E11" s="1">
        <v>3.0</v>
      </c>
      <c r="F11" s="3" t="s">
        <v>31</v>
      </c>
      <c r="G11" s="1" t="s">
        <v>32</v>
      </c>
      <c r="H11" s="1" t="s">
        <v>12</v>
      </c>
    </row>
    <row r="12">
      <c r="A12" s="1">
        <v>18.0</v>
      </c>
      <c r="B12" s="5" t="str">
        <f>HYPERLINK("https://www.dropbox.com/scl/fo/jzj47h8a229g145io0ze9/AIsxHCqo9vj03FuYiJIMVP4/018_ai2_alphabot_2_shake_bottle_ep393.mp4?rlkey=f264349x7r2qw13k7eiwuyakb&amp;dl=0", "018_ai2_alphabot_2_shake_bottle_ep393.mp4")</f>
        <v>018_ai2_alphabot_2_shake_bottle_ep393.mp4</v>
      </c>
      <c r="C12" s="1" t="s">
        <v>8</v>
      </c>
      <c r="D12" s="2" t="s">
        <v>33</v>
      </c>
      <c r="E12" s="1">
        <v>1.0</v>
      </c>
      <c r="F12" s="3" t="s">
        <v>34</v>
      </c>
      <c r="G12" s="1" t="s">
        <v>35</v>
      </c>
      <c r="H12" s="1" t="s">
        <v>14</v>
      </c>
    </row>
    <row r="13">
      <c r="A13" s="1">
        <v>19.0</v>
      </c>
      <c r="B13" s="5" t="str">
        <f>HYPERLINK("https://www.dropbox.com/scl/fo/jzj47h8a229g145io0ze9/AHFoeaiC8Ch6xlfM8KufxYA/019_agibot_task410_water_pouring_ep0.mp4?rlkey=f264349x7r2qw13k7eiwuyakb&amp;dl=0", "019_agibot_task410_water_pouring_ep0.mp4")</f>
        <v>019_agibot_task410_water_pouring_ep0.mp4</v>
      </c>
      <c r="C13" s="1" t="s">
        <v>8</v>
      </c>
      <c r="D13" s="2" t="s">
        <v>36</v>
      </c>
      <c r="E13" s="1">
        <v>3.0</v>
      </c>
      <c r="F13" s="3" t="s">
        <v>37</v>
      </c>
      <c r="G13" s="1" t="s">
        <v>32</v>
      </c>
      <c r="H13" s="1" t="s">
        <v>12</v>
      </c>
    </row>
    <row r="14">
      <c r="A14" s="1">
        <v>21.0</v>
      </c>
      <c r="B14" s="5" t="str">
        <f>HYPERLINK("https://www.dropbox.com/scl/fo/jzj47h8a229g145io0ze9/AF7ZqIpxynNoznDotfk4maM/021_aloha_mobile_wash_pan_ep0.mp4?rlkey=f264349x7r2qw13k7eiwuyakb&amp;dl=0", "021_aloha_mobile_wash_pan_ep0.mp4")</f>
        <v>021_aloha_mobile_wash_pan_ep0.mp4</v>
      </c>
      <c r="C14" s="1" t="s">
        <v>8</v>
      </c>
      <c r="D14" s="2" t="s">
        <v>38</v>
      </c>
      <c r="E14" s="1">
        <v>1.0</v>
      </c>
      <c r="F14" s="3" t="s">
        <v>39</v>
      </c>
      <c r="G14" s="1" t="s">
        <v>40</v>
      </c>
      <c r="H14" s="1" t="s">
        <v>14</v>
      </c>
    </row>
    <row r="15">
      <c r="A15" s="1">
        <v>22.0</v>
      </c>
      <c r="B15" s="5" t="str">
        <f>HYPERLINK("https://www.dropbox.com/scl/fo/jzj47h8a229g145io0ze9/ABT2y0GVPdVr74ewVJ2uV6w/022_aloha_mobile_wipe_wine_ep0.mp4?rlkey=f264349x7r2qw13k7eiwuyakb&amp;dl=0", "022_aloha_mobile_wipe_wine_ep0.mp4")</f>
        <v>022_aloha_mobile_wipe_wine_ep0.mp4</v>
      </c>
      <c r="C15" s="1" t="s">
        <v>8</v>
      </c>
      <c r="D15" s="2" t="s">
        <v>41</v>
      </c>
      <c r="E15" s="1">
        <v>1.0</v>
      </c>
      <c r="F15" s="3" t="s">
        <v>42</v>
      </c>
      <c r="G15" s="1" t="s">
        <v>20</v>
      </c>
      <c r="H15" s="1" t="s">
        <v>12</v>
      </c>
    </row>
    <row r="16">
      <c r="A16" s="1">
        <v>25.0</v>
      </c>
      <c r="B16" s="5" t="str">
        <f>HYPERLINK("https://www.dropbox.com/scl/fo/jzj47h8a229g145io0ze9/AGKlpy_02sKrItHQKngV78M/025_humanoid_everyday_fold_towel_ep4838.mp4?rlkey=f264349x7r2qw13k7eiwuyakb&amp;dl=0", "025_humanoid_everyday_fold_towel_ep4838.mp4")</f>
        <v>025_humanoid_everyday_fold_towel_ep4838.mp4</v>
      </c>
      <c r="C16" s="1" t="s">
        <v>8</v>
      </c>
      <c r="D16" s="2" t="s">
        <v>43</v>
      </c>
      <c r="E16" s="1">
        <v>2.0</v>
      </c>
      <c r="F16" s="3" t="s">
        <v>44</v>
      </c>
      <c r="G16" s="1" t="s">
        <v>45</v>
      </c>
      <c r="H16" s="1" t="s">
        <v>12</v>
      </c>
    </row>
    <row r="17">
      <c r="A17" s="1">
        <v>26.0</v>
      </c>
      <c r="B17" s="5" t="str">
        <f>HYPERLINK("https://www.dropbox.com/scl/fo/jzj47h8a229g145io0ze9/APlNVnFwXrFE0guUFnVyVAU/026_humanoid_everyday_fold_towel_ep4839.mp4?rlkey=f264349x7r2qw13k7eiwuyakb&amp;dl=0", "026_humanoid_everyday_fold_towel_ep4839.mp4")</f>
        <v>026_humanoid_everyday_fold_towel_ep4839.mp4</v>
      </c>
      <c r="C17" s="1" t="s">
        <v>8</v>
      </c>
      <c r="D17" s="2" t="s">
        <v>46</v>
      </c>
      <c r="E17" s="1">
        <v>2.0</v>
      </c>
      <c r="F17" s="3" t="s">
        <v>47</v>
      </c>
      <c r="G17" s="8" t="s">
        <v>48</v>
      </c>
      <c r="H17" s="1" t="s">
        <v>12</v>
      </c>
    </row>
    <row r="18">
      <c r="A18" s="1">
        <v>27.0</v>
      </c>
      <c r="B18" s="5" t="str">
        <f>HYPERLINK("https://www.dropbox.com/scl/fo/jzj47h8a229g145io0ze9/AD6IDvqlprIeJhVF_2CTyHw/027_humanoid_everyday_squeeze_a_ball_ep5118.mp4?rlkey=f264349x7r2qw13k7eiwuyakb&amp;dl=0", "027_humanoid_everyday_squeeze_a_ball_ep5118.mp4")</f>
        <v>027_humanoid_everyday_squeeze_a_ball_ep5118.mp4</v>
      </c>
      <c r="C18" s="1" t="s">
        <v>8</v>
      </c>
      <c r="D18" s="2" t="s">
        <v>49</v>
      </c>
      <c r="E18" s="1">
        <v>3.0</v>
      </c>
      <c r="F18" s="3" t="s">
        <v>50</v>
      </c>
      <c r="G18" s="8" t="s">
        <v>51</v>
      </c>
      <c r="H18" s="1" t="s">
        <v>14</v>
      </c>
    </row>
    <row r="19">
      <c r="A19" s="1">
        <v>28.0</v>
      </c>
      <c r="B19" s="5" t="str">
        <f>HYPERLINK("https://www.dropbox.com/scl/fo/jzj47h8a229g145io0ze9/AE7Iagu61HiG8iu-IoLI2Xo/028_humanoid_everyday_squeeze_a_toy_ep5158.mp4?rlkey=f264349x7r2qw13k7eiwuyakb&amp;dl=0", "028_humanoid_everyday_squeeze_a_toy_ep5158.mp4")</f>
        <v>028_humanoid_everyday_squeeze_a_toy_ep5158.mp4</v>
      </c>
      <c r="C19" s="1" t="s">
        <v>8</v>
      </c>
      <c r="D19" s="2" t="s">
        <v>52</v>
      </c>
      <c r="E19" s="1">
        <v>1.0</v>
      </c>
      <c r="F19" s="3" t="s">
        <v>53</v>
      </c>
      <c r="G19" s="8" t="s">
        <v>48</v>
      </c>
      <c r="H19" s="1" t="s">
        <v>14</v>
      </c>
    </row>
    <row r="20">
      <c r="A20" s="1">
        <v>29.0</v>
      </c>
      <c r="B20" s="5" t="str">
        <f>HYPERLINK("https://www.dropbox.com/scl/fo/jzj47h8a229g145io0ze9/AInjQeJ8Nsv9clXHTAEltgQ/029_humanoid_everyday_compress_a_plastic_bag_ep4598.mp4?rlkey=f264349x7r2qw13k7eiwuyakb&amp;dl=0", "029_humanoid_everyday_compress_a_plastic_bag_ep4598.mp4")</f>
        <v>029_humanoid_everyday_compress_a_plastic_bag_ep4598.mp4</v>
      </c>
      <c r="C20" s="1" t="s">
        <v>8</v>
      </c>
      <c r="D20" s="2" t="s">
        <v>54</v>
      </c>
      <c r="E20" s="1">
        <v>4.0</v>
      </c>
      <c r="F20" s="6"/>
      <c r="G20" s="7"/>
      <c r="H20" s="1" t="s">
        <v>12</v>
      </c>
    </row>
    <row r="21">
      <c r="A21" s="1">
        <v>30.0</v>
      </c>
      <c r="B21" s="5" t="str">
        <f>HYPERLINK("https://www.dropbox.com/scl/fo/jzj47h8a229g145io0ze9/AAZWHLfVGVkfy_nzsRiwLDo/030_unitree_g1dex1_fold_towel_ep0.mp4?rlkey=f264349x7r2qw13k7eiwuyakb&amp;dl=0", "030_unitree_g1dex1_fold_towel_ep0.mp4")</f>
        <v>030_unitree_g1dex1_fold_towel_ep0.mp4</v>
      </c>
      <c r="C21" s="1" t="s">
        <v>8</v>
      </c>
      <c r="D21" s="2" t="s">
        <v>55</v>
      </c>
      <c r="E21" s="1">
        <v>3.0</v>
      </c>
      <c r="F21" s="3" t="s">
        <v>56</v>
      </c>
      <c r="G21" s="8" t="s">
        <v>57</v>
      </c>
      <c r="H21" s="1" t="s">
        <v>12</v>
      </c>
    </row>
    <row r="22">
      <c r="A22" s="1">
        <v>31.0</v>
      </c>
      <c r="B22" s="5" t="str">
        <f>HYPERLINK("https://www.dropbox.com/scl/fo/jzj47h8a229g145io0ze9/AGCSUGoa8cOu_HUTekSXuPw/031_unitree_g1dex1_fold_towel_ep199.mp4?rlkey=f264349x7r2qw13k7eiwuyakb&amp;dl=0", "031_unitree_g1dex1_fold_towel_ep199.mp4")</f>
        <v>031_unitree_g1dex1_fold_towel_ep199.mp4</v>
      </c>
      <c r="C22" s="1" t="s">
        <v>8</v>
      </c>
      <c r="D22" s="2" t="s">
        <v>58</v>
      </c>
      <c r="E22" s="1">
        <v>2.0</v>
      </c>
      <c r="F22" s="3" t="s">
        <v>59</v>
      </c>
      <c r="G22" s="8" t="s">
        <v>60</v>
      </c>
      <c r="H22" s="1" t="s">
        <v>12</v>
      </c>
    </row>
    <row r="23">
      <c r="A23" s="1">
        <v>32.0</v>
      </c>
      <c r="B23" s="5" t="str">
        <f>HYPERLINK("https://www.dropbox.com/scl/fo/jzj47h8a229g145io0ze9/AOTDoqWxwVM1WXfU2R0dk6Y/032_gr00t_gr1_fold_cloth_long_ep0.mp4?rlkey=f264349x7r2qw13k7eiwuyakb&amp;dl=0", "032_gr00t_gr1_fold_cloth_long_ep0.mp4")</f>
        <v>032_gr00t_gr1_fold_cloth_long_ep0.mp4</v>
      </c>
      <c r="C23" s="1" t="s">
        <v>61</v>
      </c>
      <c r="D23" s="2" t="s">
        <v>62</v>
      </c>
      <c r="E23" s="1">
        <v>3.0</v>
      </c>
      <c r="F23" s="1" t="s">
        <v>63</v>
      </c>
      <c r="G23" s="8" t="s">
        <v>60</v>
      </c>
      <c r="H23" s="1" t="s">
        <v>12</v>
      </c>
    </row>
    <row r="24">
      <c r="A24" s="1">
        <v>33.0</v>
      </c>
      <c r="B24" s="5" t="str">
        <f>HYPERLINK("https://www.dropbox.com/scl/fo/jzj47h8a229g145io0ze9/ABKW-9G7Md45qs_tBlybMfc/033_gr00t_gr1_fold_cloth_long_ep257.mp4?rlkey=f264349x7r2qw13k7eiwuyakb&amp;dl=0", "033_gr00t_gr1_fold_cloth_long_ep257.mp4")</f>
        <v>033_gr00t_gr1_fold_cloth_long_ep257.mp4</v>
      </c>
      <c r="C24" s="1" t="s">
        <v>61</v>
      </c>
      <c r="D24" s="2" t="s">
        <v>64</v>
      </c>
      <c r="E24" s="1">
        <v>3.0</v>
      </c>
      <c r="F24" s="1" t="s">
        <v>65</v>
      </c>
      <c r="G24" s="8" t="s">
        <v>60</v>
      </c>
      <c r="H24" s="1" t="s">
        <v>12</v>
      </c>
    </row>
    <row r="25">
      <c r="A25" s="1">
        <v>34.0</v>
      </c>
      <c r="B25" s="5" t="str">
        <f>HYPERLINK("https://www.dropbox.com/scl/fo/jzj47h8a229g145io0ze9/AD_j9eDXgE16xYNsQrw-3f8/034_gr00t_egodex_crumple_flatten_paper_ep56.mp4?rlkey=f264349x7r2qw13k7eiwuyakb&amp;dl=0", "034_gr00t_egodex_crumple_flatten_paper_ep56.mp4")</f>
        <v>034_gr00t_egodex_crumple_flatten_paper_ep56.mp4</v>
      </c>
      <c r="C25" s="1" t="s">
        <v>61</v>
      </c>
      <c r="D25" s="2" t="s">
        <v>66</v>
      </c>
      <c r="E25" s="1">
        <v>2.0</v>
      </c>
      <c r="F25" s="1" t="s">
        <v>67</v>
      </c>
      <c r="G25" s="8" t="s">
        <v>60</v>
      </c>
      <c r="H25" s="1" t="s">
        <v>12</v>
      </c>
    </row>
    <row r="26">
      <c r="A26" s="1">
        <v>35.0</v>
      </c>
      <c r="B26" s="5" t="str">
        <f>HYPERLINK("https://www.dropbox.com/scl/fo/jzj47h8a229g145io0ze9/ACagcFKLb8IKUFplaBbodr4/035_gr00t_egodex_braid_unbraid_ep63.mp4?rlkey=f264349x7r2qw13k7eiwuyakb&amp;dl=0", "035_gr00t_egodex_braid_unbraid_ep63.mp4")</f>
        <v>035_gr00t_egodex_braid_unbraid_ep63.mp4</v>
      </c>
      <c r="C26" s="1" t="s">
        <v>61</v>
      </c>
      <c r="D26" s="2" t="s">
        <v>68</v>
      </c>
      <c r="E26" s="1">
        <v>2.0</v>
      </c>
      <c r="F26" s="1" t="s">
        <v>69</v>
      </c>
      <c r="G26" s="8" t="s">
        <v>60</v>
      </c>
      <c r="H26" s="1" t="s">
        <v>12</v>
      </c>
    </row>
    <row r="27">
      <c r="A27" s="1">
        <v>36.0</v>
      </c>
      <c r="B27" s="5" t="str">
        <f>HYPERLINK("https://www.dropbox.com/scl/fo/jzj47h8a229g145io0ze9/APY-XToOojhIGiMA80ReXhM/036_agibot_task362_fold_shorts_ep0.mp4?rlkey=f264349x7r2qw13k7eiwuyakb&amp;dl=0", "036_agibot_task362_fold_shorts_ep0.mp4")</f>
        <v>036_agibot_task362_fold_shorts_ep0.mp4</v>
      </c>
      <c r="C27" s="1" t="s">
        <v>61</v>
      </c>
      <c r="D27" s="2" t="s">
        <v>70</v>
      </c>
      <c r="E27" s="1">
        <v>3.0</v>
      </c>
      <c r="F27" s="1" t="s">
        <v>71</v>
      </c>
      <c r="G27" s="8" t="s">
        <v>60</v>
      </c>
      <c r="H27" s="1" t="s">
        <v>12</v>
      </c>
    </row>
    <row r="28">
      <c r="A28" s="1">
        <v>39.0</v>
      </c>
      <c r="B28" s="5" t="str">
        <f>HYPERLINK("https://www.dropbox.com/scl/fo/jzj47h8a229g145io0ze9/AEkOYRjQ7-9JKQpQ3KiXyjk/039_unitree_g1dex1_zip_up_ep0.mp4?rlkey=f264349x7r2qw13k7eiwuyakb&amp;dl=0", "039_unitree_g1dex1_zip_up_ep0.mp4")</f>
        <v>039_unitree_g1dex1_zip_up_ep0.mp4</v>
      </c>
      <c r="C28" s="1" t="s">
        <v>61</v>
      </c>
      <c r="D28" s="2" t="s">
        <v>72</v>
      </c>
      <c r="E28" s="1">
        <v>4.0</v>
      </c>
      <c r="G28" s="8" t="s">
        <v>60</v>
      </c>
      <c r="H28" s="1" t="s">
        <v>12</v>
      </c>
    </row>
    <row r="29">
      <c r="A29" s="1">
        <v>41.0</v>
      </c>
      <c r="B29" s="5" t="str">
        <f>HYPERLINK("https://www.dropbox.com/scl/fo/jzj47h8a229g145io0ze9/AP5a7NXasN1mrtW1n6z9kBQ/041_unitree_g1dex3_block_stacking_ep0.mp4?rlkey=f264349x7r2qw13k7eiwuyakb&amp;dl=0", "041_unitree_g1dex3_block_stacking_ep0.mp4")</f>
        <v>041_unitree_g1dex3_block_stacking_ep0.mp4</v>
      </c>
      <c r="C29" s="1" t="s">
        <v>61</v>
      </c>
      <c r="D29" s="2" t="s">
        <v>73</v>
      </c>
      <c r="E29" s="1">
        <v>2.0</v>
      </c>
      <c r="F29" s="1" t="s">
        <v>74</v>
      </c>
      <c r="G29" s="8" t="s">
        <v>26</v>
      </c>
      <c r="H29" s="1" t="s">
        <v>12</v>
      </c>
    </row>
    <row r="30">
      <c r="A30" s="1">
        <v>42.0</v>
      </c>
      <c r="B30" s="5" t="str">
        <f>HYPERLINK("https://www.dropbox.com/scl/fo/jzj47h8a229g145io0ze9/AKI2neqnHY1YcaqqFaiZuWw/042_unitree_g1dex3_block_stacking_ep150.mp4?rlkey=f264349x7r2qw13k7eiwuyakb&amp;dl=0", "042_unitree_g1dex3_block_stacking_ep150.mp4")</f>
        <v>042_unitree_g1dex3_block_stacking_ep150.mp4</v>
      </c>
      <c r="C30" s="1" t="s">
        <v>61</v>
      </c>
      <c r="D30" s="2" t="s">
        <v>75</v>
      </c>
      <c r="E30" s="1">
        <v>4.0</v>
      </c>
      <c r="G30" s="8" t="s">
        <v>26</v>
      </c>
      <c r="H30" s="1" t="s">
        <v>12</v>
      </c>
    </row>
    <row r="31">
      <c r="A31" s="1">
        <v>43.0</v>
      </c>
      <c r="B31" s="5" t="str">
        <f>HYPERLINK("https://www.dropbox.com/scl/fo/jzj47h8a229g145io0ze9/AAT9QPQnyrtDmZJTrI3aoGg/043_unitree_g1dex3_block_stacking_ep300.mp4?rlkey=f264349x7r2qw13k7eiwuyakb&amp;dl=0", "043_unitree_g1dex3_block_stacking_ep300.mp4")</f>
        <v>043_unitree_g1dex3_block_stacking_ep300.mp4</v>
      </c>
      <c r="C31" s="1" t="s">
        <v>61</v>
      </c>
      <c r="D31" s="2" t="s">
        <v>76</v>
      </c>
      <c r="E31" s="1">
        <v>1.0</v>
      </c>
      <c r="F31" s="1" t="s">
        <v>77</v>
      </c>
      <c r="G31" s="8" t="s">
        <v>78</v>
      </c>
      <c r="H31" s="1" t="s">
        <v>12</v>
      </c>
    </row>
    <row r="32">
      <c r="A32" s="1">
        <v>44.0</v>
      </c>
      <c r="B32" s="5" t="str">
        <f>HYPERLINK("https://www.dropbox.com/scl/fo/jzj47h8a229g145io0ze9/AJqzI2Nhiu5rpNqnTyXu7Eg/044_unitree_g1dex1_stack_block_ep0.mp4?rlkey=f264349x7r2qw13k7eiwuyakb&amp;dl=0", "044_unitree_g1dex1_stack_block_ep0.mp4")</f>
        <v>044_unitree_g1dex1_stack_block_ep0.mp4</v>
      </c>
      <c r="C32" s="1" t="s">
        <v>61</v>
      </c>
      <c r="D32" s="2" t="s">
        <v>79</v>
      </c>
      <c r="E32" s="1">
        <v>1.0</v>
      </c>
      <c r="F32" s="1" t="s">
        <v>80</v>
      </c>
      <c r="G32" s="8" t="s">
        <v>81</v>
      </c>
      <c r="H32" s="1" t="s">
        <v>12</v>
      </c>
    </row>
    <row r="33">
      <c r="A33" s="1">
        <v>45.0</v>
      </c>
      <c r="B33" s="5" t="str">
        <f>HYPERLINK("https://www.dropbox.com/scl/fo/jzj47h8a229g145io0ze9/AHAxEkKELD4w5pD4i7a7KZY/045_unitree_g1dex1_stack_block_ep199.mp4?rlkey=f264349x7r2qw13k7eiwuyakb&amp;dl=0", "045_unitree_g1dex1_stack_block_ep199.mp4")</f>
        <v>045_unitree_g1dex1_stack_block_ep199.mp4</v>
      </c>
      <c r="C33" s="1" t="s">
        <v>61</v>
      </c>
      <c r="D33" s="2" t="s">
        <v>82</v>
      </c>
      <c r="E33" s="1">
        <v>1.0</v>
      </c>
      <c r="F33" s="1" t="s">
        <v>83</v>
      </c>
      <c r="G33" s="8" t="s">
        <v>78</v>
      </c>
      <c r="H33" s="1" t="s">
        <v>12</v>
      </c>
    </row>
    <row r="34">
      <c r="A34" s="1">
        <v>46.0</v>
      </c>
      <c r="B34" s="5" t="str">
        <f>HYPERLINK("https://www.dropbox.com/scl/fo/jzj47h8a229g145io0ze9/ANLPcZIi6xeM-M4SNsMdmgA/046_humanoid_everyday_stack_two_cubes_g1_ep4358.mp4?rlkey=f264349x7r2qw13k7eiwuyakb&amp;dl=0", "046_humanoid_everyday_stack_two_cubes_g1_ep4358.mp4")</f>
        <v>046_humanoid_everyday_stack_two_cubes_g1_ep4358.mp4</v>
      </c>
      <c r="C34" s="1" t="s">
        <v>61</v>
      </c>
      <c r="D34" s="2" t="s">
        <v>84</v>
      </c>
      <c r="E34" s="1">
        <v>1.0</v>
      </c>
      <c r="F34" s="1" t="s">
        <v>85</v>
      </c>
      <c r="G34" s="8" t="s">
        <v>78</v>
      </c>
      <c r="H34" s="1" t="s">
        <v>12</v>
      </c>
    </row>
    <row r="35">
      <c r="A35" s="1">
        <v>47.0</v>
      </c>
      <c r="B35" s="5" t="str">
        <f>HYPERLINK("https://www.dropbox.com/scl/fo/jzj47h8a229g145io0ze9/ADndLXwvvsRC5r2RwhDLznA/047_humanoid_everyday_unstack_two_cubes_g1_ep4518.mp4?rlkey=f264349x7r2qw13k7eiwuyakb&amp;dl=0", "047_humanoid_everyday_unstack_two_cubes_g1_ep4518.mp4")</f>
        <v>047_humanoid_everyday_unstack_two_cubes_g1_ep4518.mp4</v>
      </c>
      <c r="C35" s="1" t="s">
        <v>61</v>
      </c>
      <c r="D35" s="2" t="s">
        <v>86</v>
      </c>
      <c r="E35" s="1">
        <v>2.0</v>
      </c>
      <c r="F35" s="1" t="s">
        <v>87</v>
      </c>
      <c r="G35" s="8" t="s">
        <v>26</v>
      </c>
      <c r="H35" s="1" t="s">
        <v>12</v>
      </c>
    </row>
    <row r="36">
      <c r="A36" s="1">
        <v>48.0</v>
      </c>
      <c r="B36" s="5" t="str">
        <f>HYPERLINK("https://www.dropbox.com/scl/fo/jzj47h8a229g145io0ze9/AG9N17YV4-73QpB3JwgNwCk/048_humanoid_everyday_pick_the_hammer_and_hit_desk_ep8398.mp4?rlkey=f264349x7r2qw13k7eiwuyakb&amp;dl=0", "048_humanoid_everyday_pick_the_hammer_and_hit_desk_ep8398.mp4")</f>
        <v>048_humanoid_everyday_pick_the_hammer_and_hit_desk_ep8398.mp4</v>
      </c>
      <c r="C36" s="1" t="s">
        <v>61</v>
      </c>
      <c r="D36" s="2" t="s">
        <v>88</v>
      </c>
      <c r="E36" s="1">
        <v>1.0</v>
      </c>
      <c r="F36" s="1" t="s">
        <v>89</v>
      </c>
      <c r="G36" s="8" t="s">
        <v>78</v>
      </c>
      <c r="H36" s="1" t="s">
        <v>12</v>
      </c>
    </row>
    <row r="37">
      <c r="A37" s="1">
        <v>49.0</v>
      </c>
      <c r="B37" s="5" t="str">
        <f>HYPERLINK("https://www.dropbox.com/scl/fo/jzj47h8a229g145io0ze9/AHQiuP1EAcWy5zlkixrA4iA/049_humanoid_everyday_pick_the_hammer_and_hit_desk_ep8399.mp4?rlkey=f264349x7r2qw13k7eiwuyakb&amp;dl=0", "049_humanoid_everyday_pick_the_hammer_and_hit_desk_ep8399.mp4")</f>
        <v>049_humanoid_everyday_pick_the_hammer_and_hit_desk_ep8399.mp4</v>
      </c>
      <c r="C37" s="1" t="s">
        <v>61</v>
      </c>
      <c r="D37" s="2" t="s">
        <v>90</v>
      </c>
      <c r="E37" s="1">
        <v>1.0</v>
      </c>
      <c r="F37" s="1" t="s">
        <v>91</v>
      </c>
      <c r="G37" s="8" t="s">
        <v>78</v>
      </c>
      <c r="H37" s="1" t="s">
        <v>12</v>
      </c>
    </row>
    <row r="38">
      <c r="A38" s="1">
        <v>50.0</v>
      </c>
      <c r="B38" s="5" t="str">
        <f>HYPERLINK("https://www.dropbox.com/scl/fo/jzj47h8a229g145io0ze9/AP_1b9PBDdyXGqb8jy639Es/050_humanoid_everyday_push_duck_g1_ep3612.mp4?rlkey=f264349x7r2qw13k7eiwuyakb&amp;dl=0", "050_humanoid_everyday_push_duck_g1_ep3612.mp4")</f>
        <v>050_humanoid_everyday_push_duck_g1_ep3612.mp4</v>
      </c>
      <c r="C38" s="1" t="s">
        <v>61</v>
      </c>
      <c r="D38" s="2" t="s">
        <v>92</v>
      </c>
      <c r="E38" s="1">
        <v>1.0</v>
      </c>
      <c r="F38" s="1" t="s">
        <v>93</v>
      </c>
      <c r="G38" s="8" t="s">
        <v>94</v>
      </c>
      <c r="H38" s="1" t="s">
        <v>12</v>
      </c>
    </row>
    <row r="39">
      <c r="A39" s="1">
        <v>51.0</v>
      </c>
      <c r="B39" s="5" t="str">
        <f>HYPERLINK("https://www.dropbox.com/scl/fo/jzj47h8a229g145io0ze9/ALJUfB04Yj7cU4h6axzw2kU/051_ai2_alphabot_2_clink_glasses_ep0.mp4?rlkey=f264349x7r2qw13k7eiwuyakb&amp;dl=0", "051_ai2_alphabot_2_clink_glasses_ep0.mp4")</f>
        <v>051_ai2_alphabot_2_clink_glasses_ep0.mp4</v>
      </c>
      <c r="C39" s="1" t="s">
        <v>61</v>
      </c>
      <c r="D39" s="2" t="s">
        <v>95</v>
      </c>
      <c r="E39" s="1">
        <v>4.0</v>
      </c>
      <c r="G39" s="7"/>
      <c r="H39" s="7"/>
    </row>
    <row r="40">
      <c r="A40" s="1">
        <v>52.0</v>
      </c>
      <c r="B40" s="5" t="str">
        <f>HYPERLINK("https://www.dropbox.com/scl/fo/jzj47h8a229g145io0ze9/ANoCbnNQrtcoJL35Qg4NQas/052_ai2_alphabot_2_clink_glasses_ep392.mp4?rlkey=f264349x7r2qw13k7eiwuyakb&amp;dl=0", "052_ai2_alphabot_2_clink_glasses_ep392.mp4")</f>
        <v>052_ai2_alphabot_2_clink_glasses_ep392.mp4</v>
      </c>
      <c r="C40" s="1" t="s">
        <v>61</v>
      </c>
      <c r="D40" s="2" t="s">
        <v>96</v>
      </c>
      <c r="E40" s="1">
        <v>4.0</v>
      </c>
      <c r="G40" s="7"/>
      <c r="H40" s="7"/>
    </row>
    <row r="41">
      <c r="A41" s="1">
        <v>53.0</v>
      </c>
      <c r="B41" s="5" t="str">
        <f>HYPERLINK("https://www.dropbox.com/scl/fo/jzj47h8a229g145io0ze9/AO1C1AcC4vHBV3Y2WVpLhDs/053_ai2_alphabot_2_stack_cups_ep0.mp4?rlkey=f264349x7r2qw13k7eiwuyakb&amp;dl=0", "053_ai2_alphabot_2_stack_cups_ep0.mp4")</f>
        <v>053_ai2_alphabot_2_stack_cups_ep0.mp4</v>
      </c>
      <c r="C41" s="1" t="s">
        <v>61</v>
      </c>
      <c r="D41" s="2" t="s">
        <v>97</v>
      </c>
      <c r="E41" s="1">
        <v>2.0</v>
      </c>
      <c r="F41" s="1" t="s">
        <v>98</v>
      </c>
      <c r="G41" s="8" t="s">
        <v>78</v>
      </c>
      <c r="H41" s="1" t="s">
        <v>12</v>
      </c>
    </row>
    <row r="42">
      <c r="A42" s="1">
        <v>54.0</v>
      </c>
      <c r="B42" s="5" t="str">
        <f>HYPERLINK("https://www.dropbox.com/scl/fo/jzj47h8a229g145io0ze9/AB8FlXTN-MiVESf55D_TdWM/054_ai2_alphabot_2_stack_blocks_ep0.mp4?rlkey=f264349x7r2qw13k7eiwuyakb&amp;dl=0", "054_ai2_alphabot_2_stack_blocks_ep0.mp4")</f>
        <v>054_ai2_alphabot_2_stack_blocks_ep0.mp4</v>
      </c>
      <c r="C42" s="1" t="s">
        <v>61</v>
      </c>
      <c r="D42" s="2" t="s">
        <v>99</v>
      </c>
      <c r="E42" s="1">
        <v>3.0</v>
      </c>
      <c r="F42" s="1" t="s">
        <v>100</v>
      </c>
      <c r="G42" s="8" t="s">
        <v>78</v>
      </c>
      <c r="H42" s="1" t="s">
        <v>12</v>
      </c>
    </row>
    <row r="43">
      <c r="A43" s="1">
        <v>55.0</v>
      </c>
      <c r="B43" s="5" t="str">
        <f>HYPERLINK("https://www.dropbox.com/scl/fo/jzj47h8a229g145io0ze9/AB7gntSRZfBuKUHdpfuNA-k/055_unitree_g1dex1_paper_cup_stacking_ep0.mp4?rlkey=f264349x7r2qw13k7eiwuyakb&amp;dl=0", "055_unitree_g1dex1_paper_cup_stacking_ep0.mp4")</f>
        <v>055_unitree_g1dex1_paper_cup_stacking_ep0.mp4</v>
      </c>
      <c r="C43" s="1" t="s">
        <v>61</v>
      </c>
      <c r="D43" s="2" t="s">
        <v>101</v>
      </c>
      <c r="E43" s="1">
        <v>1.0</v>
      </c>
      <c r="F43" s="1" t="s">
        <v>102</v>
      </c>
      <c r="G43" s="8" t="s">
        <v>26</v>
      </c>
      <c r="H43" s="1" t="s">
        <v>12</v>
      </c>
    </row>
    <row r="44" ht="30.0" customHeight="1">
      <c r="A44" s="1">
        <v>56.0</v>
      </c>
      <c r="B44" s="5" t="str">
        <f>HYPERLINK("https://www.dropbox.com/scl/fo/jzj47h8a229g145io0ze9/AEj1sKnTMaaqPfnH2jqjUuM/056_unitree_g1dex1_stack_bowls_ep0.mp4?rlkey=f264349x7r2qw13k7eiwuyakb&amp;dl=0", "056_unitree_g1dex1_stack_bowls_ep0.mp4")</f>
        <v>056_unitree_g1dex1_stack_bowls_ep0.mp4</v>
      </c>
      <c r="C44" s="1" t="s">
        <v>103</v>
      </c>
      <c r="D44" s="3" t="s">
        <v>104</v>
      </c>
      <c r="E44" s="1">
        <v>3.0</v>
      </c>
      <c r="F44" s="1" t="s">
        <v>105</v>
      </c>
      <c r="G44" s="1" t="s">
        <v>78</v>
      </c>
      <c r="H44" s="1" t="s">
        <v>12</v>
      </c>
    </row>
    <row r="45">
      <c r="A45" s="1">
        <v>57.0</v>
      </c>
      <c r="B45" s="5" t="str">
        <f>HYPERLINK("https://www.dropbox.com/scl/fo/jzj47h8a229g145io0ze9/AAW_5sjqAFg_7GsZAH3OToA/057_gr00t_gr1_pour_items_into_basket_ep0.mp4?rlkey=f264349x7r2qw13k7eiwuyakb&amp;dl=0", "057_gr00t_gr1_pour_items_into_basket_ep0.mp4")</f>
        <v>057_gr00t_gr1_pour_items_into_basket_ep0.mp4</v>
      </c>
      <c r="C45" s="1" t="s">
        <v>103</v>
      </c>
      <c r="D45" s="3" t="s">
        <v>106</v>
      </c>
      <c r="E45" s="1">
        <v>2.0</v>
      </c>
      <c r="F45" s="1" t="s">
        <v>107</v>
      </c>
      <c r="G45" s="1" t="s">
        <v>45</v>
      </c>
      <c r="H45" s="1" t="s">
        <v>12</v>
      </c>
    </row>
    <row r="46">
      <c r="A46" s="1">
        <v>58.0</v>
      </c>
      <c r="B46" s="5" t="str">
        <f>HYPERLINK("https://www.dropbox.com/scl/fo/jzj47h8a229g145io0ze9/ALWZ3MluJlfXZHSYmsrzG30/058_gr00t_gr1_pour_items_into_basket_ep50.mp4?rlkey=f264349x7r2qw13k7eiwuyakb&amp;dl=0", "058_gr00t_gr1_pour_items_into_basket_ep50.mp4")</f>
        <v>058_gr00t_gr1_pour_items_into_basket_ep50.mp4</v>
      </c>
      <c r="C46" s="1" t="s">
        <v>103</v>
      </c>
      <c r="D46" s="3" t="s">
        <v>108</v>
      </c>
      <c r="E46" s="1">
        <v>2.0</v>
      </c>
      <c r="F46" s="1" t="s">
        <v>109</v>
      </c>
      <c r="G46" s="1" t="s">
        <v>78</v>
      </c>
      <c r="H46" s="1" t="s">
        <v>12</v>
      </c>
    </row>
    <row r="47">
      <c r="A47" s="1">
        <v>59.0</v>
      </c>
      <c r="B47" s="5" t="str">
        <f>HYPERLINK("https://www.dropbox.com/scl/fo/jzj47h8a229g145io0ze9/AIky2Q5diF27Acqm3i1KmO0/059_gr00t_gr1_pour_items_into_basket_ep99.mp4?rlkey=f264349x7r2qw13k7eiwuyakb&amp;dl=0", "059_gr00t_gr1_pour_items_into_basket_ep99.mp4")</f>
        <v>059_gr00t_gr1_pour_items_into_basket_ep99.mp4</v>
      </c>
      <c r="C47" s="1" t="s">
        <v>103</v>
      </c>
      <c r="D47" s="3" t="s">
        <v>110</v>
      </c>
      <c r="E47" s="1">
        <v>4.0</v>
      </c>
      <c r="G47" s="7"/>
      <c r="H47" s="1" t="s">
        <v>14</v>
      </c>
    </row>
    <row r="48">
      <c r="A48" s="1">
        <v>60.0</v>
      </c>
      <c r="B48" s="5" t="str">
        <f>HYPERLINK("https://www.dropbox.com/scl/fo/jzj47h8a229g145io0ze9/AA-mbHFcrXvdYdKnIgIJj5I/060_unitree_g1dex1_pour_medicine_ep0.mp4?rlkey=f264349x7r2qw13k7eiwuyakb&amp;dl=0", "060_unitree_g1dex1_pour_medicine_ep0.mp4")</f>
        <v>060_unitree_g1dex1_pour_medicine_ep0.mp4</v>
      </c>
      <c r="C48" s="1" t="s">
        <v>103</v>
      </c>
      <c r="D48" s="3" t="s">
        <v>111</v>
      </c>
      <c r="E48" s="1">
        <v>1.0</v>
      </c>
      <c r="F48" s="1" t="s">
        <v>112</v>
      </c>
      <c r="G48" s="1" t="s">
        <v>113</v>
      </c>
      <c r="H48" s="1" t="s">
        <v>12</v>
      </c>
    </row>
    <row r="49">
      <c r="A49" s="1">
        <v>61.0</v>
      </c>
      <c r="B49" s="5" t="str">
        <f>HYPERLINK("https://www.dropbox.com/scl/fo/jzj47h8a229g145io0ze9/AO0uknDl5rg4CF9e7E1paEI/061_unitree_g1dex1_pour_medicine_ep100.mp4?rlkey=f264349x7r2qw13k7eiwuyakb&amp;dl=0", "061_unitree_g1dex1_pour_medicine_ep100.mp4")</f>
        <v>061_unitree_g1dex1_pour_medicine_ep100.mp4</v>
      </c>
      <c r="C49" s="1" t="s">
        <v>103</v>
      </c>
      <c r="D49" s="3" t="s">
        <v>114</v>
      </c>
      <c r="E49" s="1">
        <v>2.0</v>
      </c>
      <c r="F49" s="1" t="s">
        <v>115</v>
      </c>
      <c r="G49" s="8" t="s">
        <v>45</v>
      </c>
      <c r="H49" s="1" t="s">
        <v>12</v>
      </c>
    </row>
    <row r="50">
      <c r="A50" s="1">
        <v>62.0</v>
      </c>
      <c r="B50" s="5" t="str">
        <f>HYPERLINK("https://www.dropbox.com/scl/fo/jzj47h8a229g145io0ze9/APL8tjvNkH7rKSeLluyhr7U/062_unitree_g1dex1_pour_medicine_ep199.mp4?rlkey=f264349x7r2qw13k7eiwuyakb&amp;dl=0", "062_unitree_g1dex1_pour_medicine_ep199.mp4")</f>
        <v>062_unitree_g1dex1_pour_medicine_ep199.mp4</v>
      </c>
      <c r="C50" s="1" t="s">
        <v>103</v>
      </c>
      <c r="D50" s="3" t="s">
        <v>116</v>
      </c>
      <c r="E50" s="1">
        <v>2.0</v>
      </c>
      <c r="F50" s="1" t="s">
        <v>115</v>
      </c>
      <c r="G50" s="8" t="s">
        <v>20</v>
      </c>
      <c r="H50" s="1" t="s">
        <v>14</v>
      </c>
    </row>
    <row r="51">
      <c r="A51" s="1">
        <v>63.0</v>
      </c>
      <c r="B51" s="5" t="str">
        <f>HYPERLINK("https://www.dropbox.com/scl/fo/jzj47h8a229g145io0ze9/APQG5OFPrWy-g_1fxlM0rVM/063_humanoid_everyday_pour_out_some_sunflower_seeds_ep3292.mp4?rlkey=f264349x7r2qw13k7eiwuyakb&amp;dl=0", "063_humanoid_everyday_pour_out_some_sunflower_seeds_ep3292.mp4")</f>
        <v>063_humanoid_everyday_pour_out_some_sunflower_seeds_ep3292.mp4</v>
      </c>
      <c r="C51" s="1" t="s">
        <v>103</v>
      </c>
      <c r="D51" s="3" t="s">
        <v>117</v>
      </c>
      <c r="E51" s="1">
        <v>2.0</v>
      </c>
      <c r="F51" s="1" t="s">
        <v>118</v>
      </c>
      <c r="G51" s="8" t="s">
        <v>119</v>
      </c>
      <c r="H51" s="1" t="s">
        <v>12</v>
      </c>
    </row>
    <row r="52">
      <c r="A52" s="1">
        <v>64.0</v>
      </c>
      <c r="B52" s="5" t="str">
        <f>HYPERLINK("https://www.dropbox.com/scl/fo/jzj47h8a229g145io0ze9/AH-Z1PTavNFoDXzQa7sQeuY/064_humanoid_everyday_pour_out_some_sunflower_seeds_ep3293.mp4?rlkey=f264349x7r2qw13k7eiwuyakb&amp;dl=0", "064_humanoid_everyday_pour_out_some_sunflower_seeds_ep3293.mp4")</f>
        <v>064_humanoid_everyday_pour_out_some_sunflower_seeds_ep3293.mp4</v>
      </c>
      <c r="C52" s="1" t="s">
        <v>103</v>
      </c>
      <c r="D52" s="3" t="s">
        <v>120</v>
      </c>
      <c r="E52" s="1">
        <v>2.0</v>
      </c>
      <c r="F52" s="1" t="s">
        <v>121</v>
      </c>
      <c r="G52" s="8" t="s">
        <v>78</v>
      </c>
      <c r="H52" s="1" t="s">
        <v>12</v>
      </c>
    </row>
    <row r="53">
      <c r="A53" s="1">
        <v>66.0</v>
      </c>
      <c r="B53" s="5" t="str">
        <f>HYPERLINK("https://www.dropbox.com/scl/fo/jzj47h8a229g145io0ze9/ALTc9eh8M66FtkW0idRauA8/066_ai2_alphabot_2_pour_mung_beans_ep0.mp4?rlkey=f264349x7r2qw13k7eiwuyakb&amp;dl=0", "066_ai2_alphabot_2_pour_mung_beans_ep0.mp4")</f>
        <v>066_ai2_alphabot_2_pour_mung_beans_ep0.mp4</v>
      </c>
      <c r="C53" s="1" t="s">
        <v>103</v>
      </c>
      <c r="D53" s="3" t="s">
        <v>122</v>
      </c>
      <c r="E53" s="1">
        <v>4.0</v>
      </c>
      <c r="G53" s="7"/>
      <c r="H53" s="1" t="s">
        <v>12</v>
      </c>
    </row>
    <row r="54">
      <c r="A54" s="1">
        <v>67.0</v>
      </c>
      <c r="B54" s="5" t="str">
        <f>HYPERLINK("https://www.dropbox.com/scl/fo/jzj47h8a229g145io0ze9/APcYiZ-JNRGuDqzK1ksvh8I/067_ai2_alphabot_2_pour_mung_beans_ep212.mp4?rlkey=f264349x7r2qw13k7eiwuyakb&amp;dl=0", "067_ai2_alphabot_2_pour_mung_beans_ep212.mp4")</f>
        <v>067_ai2_alphabot_2_pour_mung_beans_ep212.mp4</v>
      </c>
      <c r="C54" s="1" t="s">
        <v>103</v>
      </c>
      <c r="D54" s="3" t="s">
        <v>123</v>
      </c>
      <c r="E54" s="1">
        <v>4.0</v>
      </c>
      <c r="G54" s="7"/>
      <c r="H54" s="1" t="s">
        <v>12</v>
      </c>
    </row>
    <row r="55">
      <c r="A55" s="1">
        <v>68.0</v>
      </c>
      <c r="B55" s="5" t="str">
        <f>HYPERLINK("https://www.dropbox.com/scl/fo/jzj47h8a229g145io0ze9/ANYDHhzXO0DOa0EwUsUGG-k/068_dlr_sara_pour_into_mug_ep0.mp4?rlkey=f264349x7r2qw13k7eiwuyakb&amp;dl=0", "068_dlr_sara_pour_into_mug_ep0.mp4")</f>
        <v>068_dlr_sara_pour_into_mug_ep0.mp4</v>
      </c>
      <c r="C55" s="1" t="s">
        <v>103</v>
      </c>
      <c r="D55" s="3" t="s">
        <v>124</v>
      </c>
      <c r="E55" s="1">
        <v>2.0</v>
      </c>
      <c r="F55" s="1" t="s">
        <v>125</v>
      </c>
      <c r="G55" s="8" t="s">
        <v>126</v>
      </c>
      <c r="H55" s="1" t="s">
        <v>12</v>
      </c>
    </row>
    <row r="56">
      <c r="A56" s="1">
        <v>70.0</v>
      </c>
      <c r="B56" s="5" t="str">
        <f>HYPERLINK("https://www.dropbox.com/scl/fo/jzj47h8a229g145io0ze9/AE2UGcq6zMT3M2bcN5eipZQ/070_humanoid_everyday_push_the_tape_towards_the_notebook_ep3720.mp4?rlkey=f264349x7r2qw13k7eiwuyakb&amp;dl=0", "070_humanoid_everyday_push_the_tape_towards_the_notebook_ep3720.mp4")</f>
        <v>070_humanoid_everyday_push_the_tape_towards_the_notebook_ep3720.mp4</v>
      </c>
      <c r="C56" s="1" t="s">
        <v>103</v>
      </c>
      <c r="D56" s="3" t="s">
        <v>127</v>
      </c>
      <c r="E56" s="1">
        <v>4.0</v>
      </c>
      <c r="G56" s="7"/>
      <c r="H56" s="1" t="s">
        <v>14</v>
      </c>
    </row>
    <row r="57">
      <c r="A57" s="1">
        <v>71.0</v>
      </c>
      <c r="B57" s="5" t="str">
        <f>HYPERLINK("https://www.dropbox.com/scl/fo/jzj47h8a229g145io0ze9/AJ1C4K06xyIyV4SxiPF4ELw/071_humanoid_everyday_push_box_screws_left_desk_right_ep3572.mp4?rlkey=f264349x7r2qw13k7eiwuyakb&amp;dl=0", "071_humanoid_everyday_push_box_screws_left_desk_right_ep3572.mp4")</f>
        <v>071_humanoid_everyday_push_box_screws_left_desk_right_ep3572.mp4</v>
      </c>
      <c r="C57" s="1" t="s">
        <v>103</v>
      </c>
      <c r="D57" s="3" t="s">
        <v>128</v>
      </c>
      <c r="E57" s="1">
        <v>4.0</v>
      </c>
      <c r="G57" s="7"/>
      <c r="H57" s="1" t="s">
        <v>14</v>
      </c>
    </row>
    <row r="58">
      <c r="A58" s="1">
        <v>72.0</v>
      </c>
      <c r="B58" s="5" t="str">
        <f>HYPERLINK("https://www.dropbox.com/scl/fo/jzj47h8a229g145io0ze9/ANabw0Ku9n9XoPE4MFhzE2o/072_humanoid_everyday_push_pencil_case_container_ep3680.mp4?rlkey=f264349x7r2qw13k7eiwuyakb&amp;dl=0", "072_humanoid_everyday_push_pencil_case_container_ep3680.mp4")</f>
        <v>072_humanoid_everyday_push_pencil_case_container_ep3680.mp4</v>
      </c>
      <c r="C58" s="1" t="s">
        <v>103</v>
      </c>
      <c r="D58" s="3" t="s">
        <v>129</v>
      </c>
      <c r="E58" s="1">
        <v>1.0</v>
      </c>
      <c r="F58" s="1" t="s">
        <v>130</v>
      </c>
      <c r="G58" s="8" t="s">
        <v>131</v>
      </c>
      <c r="H58" s="1" t="s">
        <v>14</v>
      </c>
    </row>
    <row r="59">
      <c r="A59" s="1">
        <v>73.0</v>
      </c>
      <c r="B59" s="5" t="str">
        <f>HYPERLINK("https://www.dropbox.com/scl/fo/jzj47h8a229g145io0ze9/AAWfIL-Qpdq3R7vSEm00rvg/073_rh20t_cfg1_hit_pool_ball_scene0001_ep2194.mp4?rlkey=f264349x7r2qw13k7eiwuyakb&amp;dl=0", "073_rh20t_cfg1_hit_pool_ball_scene0001_ep2194.mp4")</f>
        <v>073_rh20t_cfg1_hit_pool_ball_scene0001_ep2194.mp4</v>
      </c>
      <c r="C59" s="1" t="s">
        <v>103</v>
      </c>
      <c r="D59" s="3" t="s">
        <v>132</v>
      </c>
      <c r="E59" s="1">
        <v>1.0</v>
      </c>
      <c r="F59" s="1" t="s">
        <v>133</v>
      </c>
      <c r="G59" s="8" t="s">
        <v>134</v>
      </c>
      <c r="H59" s="1" t="s">
        <v>14</v>
      </c>
    </row>
    <row r="60">
      <c r="A60" s="1">
        <v>74.0</v>
      </c>
      <c r="B60" s="5" t="str">
        <f>HYPERLINK("https://www.dropbox.com/scl/fo/jzj47h8a229g145io0ze9/AJ6Z1iYOXXoB-d-j0431nbI/074_rh20t_cfg1_hit_pool_ball_scene0002_ep2464.mp4?rlkey=f264349x7r2qw13k7eiwuyakb&amp;dl=0", "074_rh20t_cfg1_hit_pool_ball_scene0002_ep2464.mp4")</f>
        <v>074_rh20t_cfg1_hit_pool_ball_scene0002_ep2464.mp4</v>
      </c>
      <c r="C60" s="1" t="s">
        <v>103</v>
      </c>
      <c r="D60" s="3" t="s">
        <v>135</v>
      </c>
      <c r="E60" s="1">
        <v>1.0</v>
      </c>
      <c r="F60" s="1" t="s">
        <v>136</v>
      </c>
      <c r="G60" s="8" t="s">
        <v>137</v>
      </c>
      <c r="H60" s="1" t="s">
        <v>14</v>
      </c>
    </row>
    <row r="61">
      <c r="A61" s="1">
        <v>75.0</v>
      </c>
      <c r="B61" s="5" t="str">
        <f>HYPERLINK("https://www.dropbox.com/scl/fo/jzj47h8a229g145io0ze9/ANkiXCB2L8umiVx58QvlfNE/075_unitree_g1dex1_conveyor_sorting_ep0.mp4?rlkey=f264349x7r2qw13k7eiwuyakb&amp;dl=0", "075_unitree_g1dex1_conveyor_sorting_ep0.mp4")</f>
        <v>075_unitree_g1dex1_conveyor_sorting_ep0.mp4</v>
      </c>
      <c r="C61" s="1" t="s">
        <v>103</v>
      </c>
      <c r="D61" s="3" t="s">
        <v>138</v>
      </c>
      <c r="E61" s="1">
        <v>1.0</v>
      </c>
      <c r="F61" s="1" t="s">
        <v>139</v>
      </c>
      <c r="G61" s="8" t="s">
        <v>140</v>
      </c>
      <c r="H61" s="1" t="s">
        <v>14</v>
      </c>
    </row>
    <row r="62">
      <c r="A62" s="1">
        <v>76.0</v>
      </c>
      <c r="B62" s="5" t="str">
        <f>HYPERLINK("https://www.dropbox.com/scl/fo/jzj47h8a229g145io0ze9/AF9nvdrIz_S8gvBQxQL6a9Q/076_unitree_g1dex1_conveyor_sorting_ep1048.mp4?rlkey=f264349x7r2qw13k7eiwuyakb&amp;dl=0", "076_unitree_g1dex1_conveyor_sorting_ep1048.mp4")</f>
        <v>076_unitree_g1dex1_conveyor_sorting_ep1048.mp4</v>
      </c>
      <c r="C62" s="1" t="s">
        <v>103</v>
      </c>
      <c r="D62" s="3" t="s">
        <v>141</v>
      </c>
      <c r="E62" s="1">
        <v>2.0</v>
      </c>
      <c r="F62" s="1" t="s">
        <v>142</v>
      </c>
      <c r="G62" s="8" t="s">
        <v>143</v>
      </c>
      <c r="H62" s="1" t="s">
        <v>14</v>
      </c>
    </row>
    <row r="63">
      <c r="A63" s="1">
        <v>77.0</v>
      </c>
      <c r="B63" s="5" t="str">
        <f>HYPERLINK("https://www.dropbox.com/scl/fo/jzj47h8a229g145io0ze9/AOnqOhCLfprICsnKWrR96rY/077_humanoid_everyday_use_soft_sponge_wipe_dry_surface_ep8634.mp4?rlkey=f264349x7r2qw13k7eiwuyakb&amp;dl=0", "077_humanoid_everyday_use_soft_sponge_wipe_dry_surface_ep8634.mp4")</f>
        <v>077_humanoid_everyday_use_soft_sponge_wipe_dry_surface_ep8634.mp4</v>
      </c>
      <c r="C63" s="1" t="s">
        <v>103</v>
      </c>
      <c r="D63" s="3" t="s">
        <v>144</v>
      </c>
      <c r="E63" s="1">
        <v>3.0</v>
      </c>
      <c r="F63" s="1" t="s">
        <v>145</v>
      </c>
      <c r="G63" s="8" t="s">
        <v>146</v>
      </c>
      <c r="H63" s="1" t="s">
        <v>12</v>
      </c>
    </row>
    <row r="64">
      <c r="A64" s="1">
        <v>78.0</v>
      </c>
      <c r="B64" s="5" t="str">
        <f>HYPERLINK("https://www.dropbox.com/scl/fo/jzj47h8a229g145io0ze9/AJJ06GoG-MsBrKs6zwUADwI/078_humanoid_everyday_wipe_a_table_with_an_eraser_ep8914.mp4?rlkey=f264349x7r2qw13k7eiwuyakb&amp;dl=0", "078_humanoid_everyday_wipe_a_table_with_an_eraser_ep8914.mp4")</f>
        <v>078_humanoid_everyday_wipe_a_table_with_an_eraser_ep8914.mp4</v>
      </c>
      <c r="C64" s="1" t="s">
        <v>147</v>
      </c>
      <c r="D64" s="2" t="s">
        <v>148</v>
      </c>
      <c r="E64" s="1">
        <v>1.0</v>
      </c>
      <c r="F64" s="1" t="s">
        <v>149</v>
      </c>
      <c r="G64" s="8" t="s">
        <v>150</v>
      </c>
      <c r="H64" s="1" t="s">
        <v>14</v>
      </c>
    </row>
    <row r="65">
      <c r="A65" s="1">
        <v>79.0</v>
      </c>
      <c r="B65" s="5" t="str">
        <f>HYPERLINK("https://www.dropbox.com/scl/fo/jzj47h8a229g145io0ze9/ACG5b9CTEMK4RRGC8KToMic/079_humanoid_everyday_clean_the_window_ep7001.mp4?rlkey=f264349x7r2qw13k7eiwuyakb&amp;dl=0", "079_humanoid_everyday_clean_the_window_ep7001.mp4")</f>
        <v>079_humanoid_everyday_clean_the_window_ep7001.mp4</v>
      </c>
      <c r="C65" s="1" t="s">
        <v>147</v>
      </c>
      <c r="D65" s="2" t="s">
        <v>151</v>
      </c>
      <c r="E65" s="1">
        <v>3.0</v>
      </c>
      <c r="F65" s="1" t="s">
        <v>152</v>
      </c>
      <c r="G65" s="8" t="s">
        <v>153</v>
      </c>
      <c r="H65" s="1" t="s">
        <v>14</v>
      </c>
    </row>
    <row r="66">
      <c r="A66" s="1">
        <v>80.0</v>
      </c>
      <c r="B66" s="5" t="str">
        <f>HYPERLINK("https://www.dropbox.com/scl/fo/jzj47h8a229g145io0ze9/AEx5kzMOXi3AfNVtex5GaJY/080_unitree_g1dex1_erase_board_ep0.mp4?rlkey=f264349x7r2qw13k7eiwuyakb&amp;dl=0", "080_unitree_g1dex1_erase_board_ep0.mp4")</f>
        <v>080_unitree_g1dex1_erase_board_ep0.mp4</v>
      </c>
      <c r="C66" s="1" t="s">
        <v>147</v>
      </c>
      <c r="D66" s="2" t="s">
        <v>154</v>
      </c>
      <c r="E66" s="1">
        <v>1.0</v>
      </c>
      <c r="F66" s="1" t="s">
        <v>155</v>
      </c>
      <c r="G66" s="8" t="s">
        <v>153</v>
      </c>
      <c r="H66" s="1" t="s">
        <v>12</v>
      </c>
    </row>
    <row r="67">
      <c r="A67" s="1">
        <v>81.0</v>
      </c>
      <c r="B67" s="5" t="str">
        <f>HYPERLINK("https://www.dropbox.com/scl/fo/jzj47h8a229g145io0ze9/AFGABb1_AI37_M-wNR3Y76A/081_unitree_g1dex1_erase_board_ep199.mp4?rlkey=f264349x7r2qw13k7eiwuyakb&amp;dl=0", "081_unitree_g1dex1_erase_board_ep199.mp4")</f>
        <v>081_unitree_g1dex1_erase_board_ep199.mp4</v>
      </c>
      <c r="C67" s="1" t="s">
        <v>147</v>
      </c>
      <c r="D67" s="2" t="s">
        <v>156</v>
      </c>
      <c r="E67" s="1">
        <v>4.0</v>
      </c>
      <c r="F67" s="1" t="s">
        <v>157</v>
      </c>
      <c r="G67" s="8" t="s">
        <v>158</v>
      </c>
      <c r="H67" s="1" t="s">
        <v>12</v>
      </c>
    </row>
    <row r="68">
      <c r="A68" s="1">
        <v>82.0</v>
      </c>
      <c r="B68" s="5" t="str">
        <f>HYPERLINK("https://www.dropbox.com/scl/fo/jzj47h8a229g145io0ze9/AOQicgP0rASWms1UA5RDzRk/082_galbot_g1_clear_table_residue_1_ep0.mp4?rlkey=f264349x7r2qw13k7eiwuyakb&amp;dl=0", "082_galbot_g1_clear_table_residue_1_ep0.mp4")</f>
        <v>082_galbot_g1_clear_table_residue_1_ep0.mp4</v>
      </c>
      <c r="C68" s="1" t="s">
        <v>147</v>
      </c>
      <c r="D68" s="2" t="s">
        <v>159</v>
      </c>
      <c r="E68" s="1">
        <v>2.0</v>
      </c>
      <c r="F68" s="1" t="s">
        <v>160</v>
      </c>
      <c r="G68" s="8" t="s">
        <v>78</v>
      </c>
      <c r="H68" s="1" t="s">
        <v>12</v>
      </c>
    </row>
    <row r="69">
      <c r="A69" s="1">
        <v>83.0</v>
      </c>
      <c r="B69" s="5" t="str">
        <f>HYPERLINK("https://www.dropbox.com/scl/fo/jzj47h8a229g145io0ze9/AB_j9gk2fhIsk4xxFs_8VDs/083_galbot_g1_wipe_mirror_ep0.mp4?rlkey=f264349x7r2qw13k7eiwuyakb&amp;dl=0", "083_galbot_g1_wipe_mirror_ep0.mp4")</f>
        <v>083_galbot_g1_wipe_mirror_ep0.mp4</v>
      </c>
      <c r="C69" s="1" t="s">
        <v>147</v>
      </c>
      <c r="D69" s="2" t="s">
        <v>161</v>
      </c>
      <c r="E69" s="1">
        <v>4.0</v>
      </c>
      <c r="F69" s="1" t="s">
        <v>162</v>
      </c>
      <c r="G69" s="8" t="s">
        <v>158</v>
      </c>
      <c r="H69" s="1" t="s">
        <v>14</v>
      </c>
    </row>
    <row r="70">
      <c r="A70" s="1">
        <v>84.0</v>
      </c>
      <c r="B70" s="5" t="str">
        <f>HYPERLINK("https://www.dropbox.com/scl/fo/jzj47h8a229g145io0ze9/AOb5eK9WeA2wysYM_-Jfasc/084_agibot_task421_wipe_stain_ep0.mp4?rlkey=f264349x7r2qw13k7eiwuyakb&amp;dl=0", "084_agibot_task421_wipe_stain_ep0.mp4")</f>
        <v>084_agibot_task421_wipe_stain_ep0.mp4</v>
      </c>
      <c r="C70" s="1" t="s">
        <v>147</v>
      </c>
      <c r="D70" s="2" t="s">
        <v>163</v>
      </c>
      <c r="E70" s="1">
        <v>1.0</v>
      </c>
      <c r="F70" s="1" t="s">
        <v>164</v>
      </c>
      <c r="G70" s="8" t="s">
        <v>11</v>
      </c>
      <c r="H70" s="1" t="s">
        <v>14</v>
      </c>
    </row>
    <row r="71">
      <c r="A71" s="1">
        <v>85.0</v>
      </c>
      <c r="B71" s="5" t="str">
        <f>HYPERLINK("https://www.dropbox.com/scl/fo/jzj47h8a229g145io0ze9/AFcU1Sm-A4mK6FNGaUtQHNU/085_agibot_task421_wipe_stain_ep950.mp4?rlkey=f264349x7r2qw13k7eiwuyakb&amp;dl=0", "085_agibot_task421_wipe_stain_ep950.mp4")</f>
        <v>085_agibot_task421_wipe_stain_ep950.mp4</v>
      </c>
      <c r="C71" s="1" t="s">
        <v>147</v>
      </c>
      <c r="D71" s="2" t="s">
        <v>165</v>
      </c>
      <c r="E71" s="1">
        <v>2.0</v>
      </c>
      <c r="F71" s="1" t="s">
        <v>166</v>
      </c>
      <c r="G71" s="8" t="s">
        <v>167</v>
      </c>
      <c r="H71" s="1" t="s">
        <v>12</v>
      </c>
    </row>
    <row r="72">
      <c r="A72" s="1">
        <v>86.0</v>
      </c>
      <c r="B72" s="5" t="str">
        <f>HYPERLINK("https://www.dropbox.com/scl/fo/jzj47h8a229g145io0ze9/AAU1AX3k9wsWYDARJx1w76w/086_aloha_static_ziploc_slide_ep0.mp4?rlkey=f264349x7r2qw13k7eiwuyakb&amp;dl=0", "086_aloha_static_ziploc_slide_ep0.mp4")</f>
        <v>086_aloha_static_ziploc_slide_ep0.mp4</v>
      </c>
      <c r="C72" s="1" t="s">
        <v>147</v>
      </c>
      <c r="D72" s="2" t="s">
        <v>168</v>
      </c>
      <c r="E72" s="1">
        <v>3.0</v>
      </c>
      <c r="F72" s="1" t="s">
        <v>169</v>
      </c>
      <c r="G72" s="8" t="s">
        <v>158</v>
      </c>
      <c r="H72" s="1" t="s">
        <v>12</v>
      </c>
    </row>
    <row r="73">
      <c r="A73" s="1">
        <v>87.0</v>
      </c>
      <c r="B73" s="5" t="str">
        <f>HYPERLINK("https://www.dropbox.com/scl/fo/jzj47h8a229g145io0ze9/AJbI1h3fg6_GHwb2G3hzN6k/087_unitree_g1dex3_toasted_bread_ep0.mp4?rlkey=f264349x7r2qw13k7eiwuyakb&amp;dl=0", "087_unitree_g1dex3_toasted_bread_ep0.mp4")</f>
        <v>087_unitree_g1dex3_toasted_bread_ep0.mp4</v>
      </c>
      <c r="C73" s="1" t="s">
        <v>147</v>
      </c>
      <c r="D73" s="2" t="s">
        <v>170</v>
      </c>
      <c r="E73" s="1">
        <v>1.0</v>
      </c>
      <c r="F73" s="1" t="s">
        <v>171</v>
      </c>
      <c r="G73" s="8" t="s">
        <v>51</v>
      </c>
      <c r="H73" s="1" t="s">
        <v>14</v>
      </c>
    </row>
    <row r="74">
      <c r="A74" s="1">
        <v>88.0</v>
      </c>
      <c r="B74" s="5" t="str">
        <f>HYPERLINK("https://www.dropbox.com/scl/fo/jzj47h8a229g145io0ze9/ACr0WOTvGHxP8wnqJkN_ALA/088_unitree_g1dex3_toasted_bread_ep208.mp4?rlkey=f264349x7r2qw13k7eiwuyakb&amp;dl=0", "088_unitree_g1dex3_toasted_bread_ep208.mp4")</f>
        <v>088_unitree_g1dex3_toasted_bread_ep208.mp4</v>
      </c>
      <c r="C74" s="1" t="s">
        <v>147</v>
      </c>
      <c r="D74" s="2" t="s">
        <v>172</v>
      </c>
      <c r="E74" s="1">
        <v>4.0</v>
      </c>
      <c r="G74" s="8" t="s">
        <v>51</v>
      </c>
      <c r="H74" s="1" t="s">
        <v>12</v>
      </c>
    </row>
    <row r="75">
      <c r="A75" s="1">
        <v>89.0</v>
      </c>
      <c r="B75" s="5" t="str">
        <f>HYPERLINK("https://www.dropbox.com/scl/fo/jzj47h8a229g145io0ze9/AKnhshvBOjAy6i9iBsTCXNM/089_unitree_g1dex3_toasted_bread_ep417.mp4?rlkey=f264349x7r2qw13k7eiwuyakb&amp;dl=0", "089_unitree_g1dex3_toasted_bread_ep417.mp4")</f>
        <v>089_unitree_g1dex3_toasted_bread_ep417.mp4</v>
      </c>
      <c r="C75" s="1" t="s">
        <v>147</v>
      </c>
      <c r="D75" s="2" t="s">
        <v>173</v>
      </c>
      <c r="E75" s="1">
        <v>2.0</v>
      </c>
      <c r="F75" s="1" t="s">
        <v>174</v>
      </c>
      <c r="G75" s="8" t="s">
        <v>175</v>
      </c>
      <c r="H75" s="1" t="s">
        <v>12</v>
      </c>
    </row>
    <row r="76">
      <c r="A76" s="1">
        <v>90.0</v>
      </c>
      <c r="B76" s="1" t="s">
        <v>176</v>
      </c>
      <c r="C76" s="1" t="s">
        <v>147</v>
      </c>
      <c r="D76" s="2" t="s">
        <v>177</v>
      </c>
      <c r="G76" s="7"/>
      <c r="H76" s="7"/>
    </row>
    <row r="77">
      <c r="A77" s="1">
        <v>91.0</v>
      </c>
      <c r="B77" s="5" t="str">
        <f>HYPERLINK("https://www.dropbox.com/scl/fo/jzj47h8a229g145io0ze9/AODJQgzSatr2fLclQpN6Liw/091_unitree_z1_dual_pour_coffee_ep330.mp4?rlkey=f264349x7r2qw13k7eiwuyakb&amp;dl=0", "091_unitree_z1_dual_pour_coffee_ep330.mp4")</f>
        <v>091_unitree_z1_dual_pour_coffee_ep330.mp4</v>
      </c>
      <c r="C77" s="1" t="s">
        <v>147</v>
      </c>
      <c r="D77" s="2" t="s">
        <v>178</v>
      </c>
      <c r="G77" s="7"/>
      <c r="H77" s="7"/>
    </row>
    <row r="78">
      <c r="A78" s="1">
        <v>93.0</v>
      </c>
      <c r="B78" s="5" t="str">
        <f>HYPERLINK("https://www.dropbox.com/scl/fo/jzj47h8a229g145io0ze9/ABeVfoFVR56Zlm4YNrGXroA/093_humanoid_everyday_press_start_boiling_button_ep8078.mp4?rlkey=f264349x7r2qw13k7eiwuyakb&amp;dl=0", "093_humanoid_everyday_press_start_boiling_button_ep8078.mp4")</f>
        <v>093_humanoid_everyday_press_start_boiling_button_ep8078.mp4</v>
      </c>
      <c r="C78" s="1" t="s">
        <v>147</v>
      </c>
      <c r="D78" s="2" t="s">
        <v>179</v>
      </c>
      <c r="E78" s="1">
        <v>4.0</v>
      </c>
      <c r="F78" s="1" t="s">
        <v>180</v>
      </c>
      <c r="G78" s="8" t="s">
        <v>158</v>
      </c>
      <c r="H78" s="1" t="s">
        <v>14</v>
      </c>
    </row>
    <row r="79">
      <c r="A79" s="1">
        <v>94.0</v>
      </c>
      <c r="B79" s="5" t="str">
        <f>HYPERLINK("https://www.dropbox.com/scl/fo/jzj47h8a229g145io0ze9/AGSDT6b7zSt1X6vTvG4is3Q/094_humanoid_everyday_pick_up_kettle_place_base_turn_ep7022.mp4?rlkey=f264349x7r2qw13k7eiwuyakb&amp;dl=0", "094_humanoid_everyday_pick_up_kettle_place_base_turn_ep7022.mp4")</f>
        <v>094_humanoid_everyday_pick_up_kettle_place_base_turn_ep7022.mp4</v>
      </c>
      <c r="C79" s="1" t="s">
        <v>147</v>
      </c>
      <c r="D79" s="2" t="s">
        <v>181</v>
      </c>
      <c r="E79" s="1">
        <v>2.0</v>
      </c>
      <c r="F79" s="1" t="s">
        <v>182</v>
      </c>
      <c r="G79" s="8" t="s">
        <v>153</v>
      </c>
      <c r="H79" s="1" t="s">
        <v>14</v>
      </c>
    </row>
    <row r="80">
      <c r="A80" s="1">
        <v>95.0</v>
      </c>
      <c r="B80" s="5" t="str">
        <f>HYPERLINK("https://www.dropbox.com/scl/fo/jzj47h8a229g145io0ze9/AMlLUrJJayw6nZOnvZG4-JY/095_galbot_g1_scrub_toilet_ep0.mp4?rlkey=f264349x7r2qw13k7eiwuyakb&amp;dl=0", "095_galbot_g1_scrub_toilet_ep0.mp4")</f>
        <v>095_galbot_g1_scrub_toilet_ep0.mp4</v>
      </c>
      <c r="C80" s="1" t="s">
        <v>147</v>
      </c>
      <c r="D80" s="2" t="s">
        <v>183</v>
      </c>
      <c r="E80" s="1">
        <v>1.0</v>
      </c>
      <c r="F80" s="1" t="s">
        <v>184</v>
      </c>
      <c r="G80" s="8" t="s">
        <v>131</v>
      </c>
      <c r="H80" s="1" t="s">
        <v>14</v>
      </c>
    </row>
    <row r="81">
      <c r="A81" s="1">
        <v>96.0</v>
      </c>
      <c r="B81" s="5" t="str">
        <f>HYPERLINK("https://www.dropbox.com/scl/fo/jzj47h8a229g145io0ze9/AI8zGeeeZgfbb772maejJgg/096_galbot_g1_scrub_toilet_ep186.mp4?rlkey=f264349x7r2qw13k7eiwuyakb&amp;dl=0", "096_galbot_g1_scrub_toilet_ep186.mp4")</f>
        <v>096_galbot_g1_scrub_toilet_ep186.mp4</v>
      </c>
      <c r="C81" s="1" t="s">
        <v>147</v>
      </c>
      <c r="D81" s="2" t="s">
        <v>185</v>
      </c>
      <c r="E81" s="1">
        <v>1.0</v>
      </c>
      <c r="F81" s="1" t="s">
        <v>186</v>
      </c>
      <c r="G81" s="8" t="s">
        <v>187</v>
      </c>
      <c r="H81" s="1" t="s">
        <v>14</v>
      </c>
    </row>
    <row r="82">
      <c r="A82" s="1">
        <v>97.0</v>
      </c>
      <c r="B82" s="5" t="str">
        <f>HYPERLINK("https://www.dropbox.com/scl/fo/jzj47h8a229g145io0ze9/AEMC1QIicKHmC9TOVy7ws5A/097_aloha_mobile_shrimp_ep0.mp4?rlkey=f264349x7r2qw13k7eiwuyakb&amp;dl=0", "097_aloha_mobile_shrimp_ep0.mp4")</f>
        <v>097_aloha_mobile_shrimp_ep0.mp4</v>
      </c>
      <c r="C82" s="1" t="s">
        <v>147</v>
      </c>
      <c r="D82" s="2" t="s">
        <v>188</v>
      </c>
      <c r="E82" s="1">
        <v>3.0</v>
      </c>
      <c r="F82" s="1" t="s">
        <v>189</v>
      </c>
      <c r="G82" s="8" t="s">
        <v>158</v>
      </c>
      <c r="H82" s="1" t="s">
        <v>12</v>
      </c>
    </row>
    <row r="83">
      <c r="A83" s="1">
        <v>98.0</v>
      </c>
      <c r="B83" s="5" t="str">
        <f>HYPERLINK("https://www.dropbox.com/scl/fo/jzj47h8a229g145io0ze9/AHX8uY1KpHVtAaI2YflEUSY/098_aloha_static_coffee_ep0.mp4?rlkey=f264349x7r2qw13k7eiwuyakb&amp;dl=0", "098_aloha_static_coffee_ep0.mp4")</f>
        <v>098_aloha_static_coffee_ep0.mp4</v>
      </c>
      <c r="C83" s="1" t="s">
        <v>147</v>
      </c>
      <c r="D83" s="2" t="s">
        <v>190</v>
      </c>
      <c r="E83" s="1">
        <v>2.0</v>
      </c>
      <c r="F83" s="1" t="s">
        <v>191</v>
      </c>
      <c r="G83" s="8" t="s">
        <v>192</v>
      </c>
      <c r="H83" s="1" t="s">
        <v>14</v>
      </c>
    </row>
    <row r="84">
      <c r="D84" s="9"/>
      <c r="F84" s="6"/>
      <c r="G84" s="7"/>
      <c r="H84" s="7"/>
    </row>
    <row r="85">
      <c r="D85" s="9"/>
      <c r="F85" s="6"/>
      <c r="G85" s="7"/>
      <c r="H85" s="7"/>
    </row>
    <row r="86">
      <c r="D86" s="9"/>
      <c r="F86" s="6"/>
      <c r="G86" s="7"/>
      <c r="H86" s="7"/>
    </row>
    <row r="87">
      <c r="D87" s="9"/>
      <c r="F87" s="6"/>
      <c r="G87" s="7"/>
      <c r="H87" s="7"/>
    </row>
    <row r="88">
      <c r="D88" s="9"/>
      <c r="F88" s="6"/>
      <c r="G88" s="7"/>
      <c r="H88" s="7"/>
    </row>
    <row r="89">
      <c r="D89" s="9"/>
      <c r="F89" s="6"/>
      <c r="G89" s="7"/>
      <c r="H89" s="7"/>
    </row>
    <row r="90">
      <c r="D90" s="9"/>
      <c r="F90" s="6"/>
      <c r="G90" s="7"/>
      <c r="H90" s="7"/>
    </row>
    <row r="91">
      <c r="D91" s="9"/>
      <c r="F91" s="6"/>
      <c r="G91" s="7"/>
      <c r="H91" s="7"/>
    </row>
    <row r="92">
      <c r="D92" s="9"/>
      <c r="F92" s="6"/>
      <c r="G92" s="7"/>
      <c r="H92" s="7"/>
    </row>
    <row r="93">
      <c r="D93" s="9"/>
      <c r="F93" s="6"/>
      <c r="G93" s="7"/>
      <c r="H93" s="7"/>
    </row>
    <row r="94">
      <c r="D94" s="9"/>
      <c r="F94" s="6"/>
      <c r="G94" s="7"/>
      <c r="H94" s="7"/>
    </row>
    <row r="95">
      <c r="D95" s="9"/>
      <c r="F95" s="6"/>
      <c r="G95" s="7"/>
      <c r="H95" s="7"/>
    </row>
    <row r="96">
      <c r="D96" s="9"/>
      <c r="F96" s="6"/>
      <c r="G96" s="7"/>
      <c r="H96" s="7"/>
    </row>
    <row r="97">
      <c r="D97" s="9"/>
      <c r="F97" s="6"/>
      <c r="G97" s="7"/>
      <c r="H97" s="7"/>
    </row>
    <row r="98">
      <c r="D98" s="9"/>
      <c r="F98" s="6"/>
      <c r="G98" s="7"/>
      <c r="H98" s="7"/>
    </row>
    <row r="99">
      <c r="D99" s="9"/>
      <c r="F99" s="6"/>
      <c r="G99" s="7"/>
      <c r="H99" s="7"/>
    </row>
    <row r="100">
      <c r="D100" s="9"/>
      <c r="F100" s="6"/>
      <c r="G100" s="7"/>
      <c r="H100" s="7"/>
    </row>
    <row r="101">
      <c r="D101" s="9"/>
      <c r="F101" s="6"/>
      <c r="G101" s="7"/>
      <c r="H101" s="7"/>
    </row>
    <row r="102">
      <c r="D102" s="9"/>
      <c r="F102" s="6"/>
      <c r="G102" s="7"/>
      <c r="H102" s="7"/>
    </row>
    <row r="103">
      <c r="D103" s="9"/>
      <c r="F103" s="6"/>
      <c r="G103" s="7"/>
      <c r="H103" s="7"/>
    </row>
    <row r="104">
      <c r="D104" s="9"/>
      <c r="F104" s="6"/>
      <c r="G104" s="7"/>
      <c r="H104" s="7"/>
    </row>
    <row r="105">
      <c r="D105" s="9"/>
      <c r="F105" s="6"/>
      <c r="G105" s="7"/>
      <c r="H105" s="7"/>
    </row>
    <row r="106">
      <c r="D106" s="9"/>
      <c r="F106" s="6"/>
      <c r="G106" s="7"/>
      <c r="H106" s="7"/>
    </row>
    <row r="107">
      <c r="D107" s="9"/>
      <c r="F107" s="6"/>
      <c r="G107" s="7"/>
      <c r="H107" s="7"/>
    </row>
    <row r="108">
      <c r="D108" s="9"/>
      <c r="F108" s="6"/>
      <c r="G108" s="7"/>
      <c r="H108" s="7"/>
    </row>
    <row r="109">
      <c r="D109" s="9"/>
      <c r="F109" s="6"/>
      <c r="G109" s="7"/>
      <c r="H109" s="7"/>
    </row>
    <row r="110">
      <c r="D110" s="9"/>
      <c r="F110" s="6"/>
      <c r="G110" s="7"/>
      <c r="H110" s="7"/>
    </row>
    <row r="111">
      <c r="D111" s="9"/>
      <c r="F111" s="6"/>
      <c r="G111" s="7"/>
      <c r="H111" s="7"/>
    </row>
    <row r="112">
      <c r="D112" s="9"/>
      <c r="F112" s="6"/>
      <c r="G112" s="7"/>
      <c r="H112" s="7"/>
    </row>
    <row r="113">
      <c r="D113" s="9"/>
      <c r="F113" s="6"/>
      <c r="G113" s="7"/>
      <c r="H113" s="7"/>
    </row>
    <row r="114">
      <c r="D114" s="9"/>
      <c r="F114" s="6"/>
      <c r="G114" s="7"/>
      <c r="H114" s="7"/>
    </row>
    <row r="115">
      <c r="D115" s="9"/>
      <c r="F115" s="6"/>
      <c r="G115" s="7"/>
      <c r="H115" s="7"/>
    </row>
    <row r="116">
      <c r="D116" s="9"/>
      <c r="F116" s="6"/>
      <c r="G116" s="7"/>
      <c r="H116" s="7"/>
    </row>
    <row r="117">
      <c r="D117" s="9"/>
      <c r="F117" s="6"/>
      <c r="G117" s="7"/>
      <c r="H117" s="7"/>
    </row>
    <row r="118">
      <c r="D118" s="9"/>
      <c r="F118" s="6"/>
      <c r="G118" s="7"/>
      <c r="H118" s="7"/>
    </row>
    <row r="119">
      <c r="D119" s="9"/>
      <c r="F119" s="6"/>
      <c r="G119" s="7"/>
      <c r="H119" s="7"/>
    </row>
    <row r="120">
      <c r="D120" s="9"/>
      <c r="F120" s="6"/>
      <c r="G120" s="7"/>
      <c r="H120" s="7"/>
    </row>
    <row r="121">
      <c r="D121" s="9"/>
      <c r="F121" s="6"/>
      <c r="G121" s="7"/>
      <c r="H121" s="7"/>
    </row>
    <row r="122">
      <c r="D122" s="9"/>
      <c r="F122" s="6"/>
      <c r="G122" s="7"/>
      <c r="H122" s="7"/>
    </row>
    <row r="123">
      <c r="D123" s="9"/>
      <c r="F123" s="6"/>
      <c r="G123" s="7"/>
      <c r="H123" s="7"/>
    </row>
    <row r="124">
      <c r="D124" s="9"/>
      <c r="F124" s="6"/>
      <c r="G124" s="7"/>
      <c r="H124" s="7"/>
    </row>
    <row r="125">
      <c r="D125" s="9"/>
      <c r="F125" s="6"/>
      <c r="G125" s="7"/>
      <c r="H125" s="7"/>
    </row>
    <row r="126">
      <c r="D126" s="9"/>
      <c r="F126" s="6"/>
      <c r="G126" s="7"/>
      <c r="H126" s="7"/>
    </row>
    <row r="127">
      <c r="D127" s="9"/>
      <c r="F127" s="6"/>
      <c r="G127" s="7"/>
      <c r="H127" s="7"/>
    </row>
    <row r="128">
      <c r="D128" s="9"/>
      <c r="F128" s="6"/>
      <c r="G128" s="7"/>
      <c r="H128" s="7"/>
    </row>
    <row r="129">
      <c r="D129" s="9"/>
      <c r="F129" s="6"/>
      <c r="G129" s="7"/>
      <c r="H129" s="7"/>
    </row>
    <row r="130">
      <c r="D130" s="9"/>
      <c r="F130" s="6"/>
      <c r="G130" s="7"/>
      <c r="H130" s="7"/>
    </row>
    <row r="131">
      <c r="D131" s="9"/>
      <c r="F131" s="6"/>
      <c r="G131" s="7"/>
      <c r="H131" s="7"/>
    </row>
    <row r="132">
      <c r="D132" s="9"/>
      <c r="F132" s="6"/>
      <c r="G132" s="7"/>
      <c r="H132" s="7"/>
    </row>
    <row r="133">
      <c r="D133" s="9"/>
      <c r="F133" s="6"/>
      <c r="G133" s="7"/>
      <c r="H133" s="7"/>
    </row>
    <row r="134">
      <c r="D134" s="9"/>
      <c r="F134" s="6"/>
      <c r="G134" s="7"/>
      <c r="H134" s="7"/>
    </row>
    <row r="135">
      <c r="D135" s="9"/>
      <c r="F135" s="6"/>
      <c r="G135" s="7"/>
      <c r="H135" s="7"/>
    </row>
    <row r="136">
      <c r="D136" s="9"/>
      <c r="F136" s="6"/>
      <c r="G136" s="7"/>
      <c r="H136" s="7"/>
    </row>
    <row r="137">
      <c r="D137" s="9"/>
      <c r="F137" s="6"/>
      <c r="G137" s="7"/>
      <c r="H137" s="7"/>
    </row>
    <row r="138">
      <c r="D138" s="9"/>
      <c r="F138" s="6"/>
      <c r="G138" s="7"/>
      <c r="H138" s="7"/>
    </row>
    <row r="139">
      <c r="D139" s="9"/>
      <c r="F139" s="6"/>
      <c r="G139" s="7"/>
      <c r="H139" s="7"/>
    </row>
    <row r="140">
      <c r="D140" s="9"/>
      <c r="F140" s="6"/>
      <c r="G140" s="7"/>
      <c r="H140" s="7"/>
    </row>
    <row r="141">
      <c r="D141" s="9"/>
      <c r="F141" s="6"/>
      <c r="G141" s="7"/>
      <c r="H141" s="7"/>
    </row>
    <row r="142">
      <c r="D142" s="9"/>
      <c r="F142" s="6"/>
      <c r="G142" s="7"/>
      <c r="H142" s="7"/>
    </row>
    <row r="143">
      <c r="D143" s="9"/>
      <c r="F143" s="6"/>
      <c r="G143" s="7"/>
      <c r="H143" s="7"/>
    </row>
    <row r="144">
      <c r="D144" s="9"/>
      <c r="F144" s="6"/>
      <c r="G144" s="7"/>
      <c r="H144" s="7"/>
    </row>
    <row r="145">
      <c r="D145" s="9"/>
      <c r="F145" s="6"/>
      <c r="G145" s="7"/>
      <c r="H145" s="7"/>
    </row>
    <row r="146">
      <c r="D146" s="9"/>
      <c r="F146" s="6"/>
      <c r="G146" s="7"/>
      <c r="H146" s="7"/>
    </row>
    <row r="147">
      <c r="D147" s="9"/>
      <c r="F147" s="6"/>
      <c r="G147" s="7"/>
      <c r="H147" s="7"/>
    </row>
    <row r="148">
      <c r="D148" s="9"/>
      <c r="F148" s="6"/>
      <c r="G148" s="7"/>
      <c r="H148" s="7"/>
    </row>
    <row r="149">
      <c r="D149" s="9"/>
      <c r="F149" s="6"/>
      <c r="G149" s="7"/>
      <c r="H149" s="7"/>
    </row>
    <row r="150">
      <c r="D150" s="9"/>
      <c r="F150" s="6"/>
      <c r="G150" s="7"/>
      <c r="H150" s="7"/>
    </row>
    <row r="151">
      <c r="D151" s="9"/>
      <c r="F151" s="6"/>
      <c r="G151" s="7"/>
      <c r="H151" s="7"/>
    </row>
    <row r="152">
      <c r="D152" s="9"/>
      <c r="F152" s="6"/>
      <c r="G152" s="7"/>
      <c r="H152" s="7"/>
    </row>
    <row r="153">
      <c r="D153" s="9"/>
      <c r="F153" s="6"/>
      <c r="G153" s="7"/>
      <c r="H153" s="7"/>
    </row>
    <row r="154">
      <c r="D154" s="9"/>
      <c r="F154" s="6"/>
      <c r="G154" s="7"/>
      <c r="H154" s="7"/>
    </row>
    <row r="155">
      <c r="D155" s="9"/>
      <c r="F155" s="6"/>
      <c r="G155" s="7"/>
      <c r="H155" s="7"/>
    </row>
    <row r="156">
      <c r="D156" s="9"/>
      <c r="F156" s="6"/>
      <c r="G156" s="7"/>
      <c r="H156" s="7"/>
    </row>
    <row r="157">
      <c r="D157" s="9"/>
      <c r="F157" s="6"/>
      <c r="G157" s="7"/>
      <c r="H157" s="7"/>
    </row>
    <row r="158">
      <c r="D158" s="9"/>
      <c r="F158" s="6"/>
      <c r="G158" s="7"/>
      <c r="H158" s="7"/>
    </row>
    <row r="159">
      <c r="D159" s="9"/>
      <c r="F159" s="6"/>
      <c r="G159" s="7"/>
      <c r="H159" s="7"/>
    </row>
    <row r="160">
      <c r="D160" s="9"/>
      <c r="F160" s="6"/>
      <c r="G160" s="7"/>
      <c r="H160" s="7"/>
    </row>
    <row r="161">
      <c r="D161" s="9"/>
      <c r="F161" s="6"/>
      <c r="G161" s="7"/>
      <c r="H161" s="7"/>
    </row>
    <row r="162">
      <c r="D162" s="9"/>
      <c r="F162" s="6"/>
      <c r="G162" s="7"/>
      <c r="H162" s="7"/>
    </row>
    <row r="163">
      <c r="D163" s="9"/>
      <c r="F163" s="6"/>
      <c r="G163" s="7"/>
      <c r="H163" s="7"/>
    </row>
    <row r="164">
      <c r="D164" s="9"/>
      <c r="F164" s="6"/>
      <c r="G164" s="7"/>
      <c r="H164" s="7"/>
    </row>
    <row r="165">
      <c r="D165" s="9"/>
      <c r="F165" s="6"/>
      <c r="G165" s="7"/>
      <c r="H165" s="7"/>
    </row>
    <row r="166">
      <c r="D166" s="9"/>
      <c r="F166" s="6"/>
      <c r="G166" s="7"/>
      <c r="H166" s="7"/>
    </row>
    <row r="167">
      <c r="D167" s="9"/>
      <c r="F167" s="6"/>
      <c r="G167" s="7"/>
      <c r="H167" s="7"/>
    </row>
    <row r="168">
      <c r="D168" s="9"/>
      <c r="F168" s="6"/>
      <c r="G168" s="7"/>
      <c r="H168" s="7"/>
    </row>
    <row r="169">
      <c r="D169" s="9"/>
      <c r="F169" s="6"/>
      <c r="G169" s="7"/>
      <c r="H169" s="7"/>
    </row>
    <row r="170">
      <c r="D170" s="9"/>
      <c r="F170" s="6"/>
      <c r="G170" s="7"/>
      <c r="H170" s="7"/>
    </row>
    <row r="171">
      <c r="D171" s="9"/>
      <c r="F171" s="6"/>
      <c r="G171" s="7"/>
      <c r="H171" s="7"/>
    </row>
    <row r="172">
      <c r="D172" s="9"/>
      <c r="F172" s="6"/>
      <c r="G172" s="7"/>
      <c r="H172" s="7"/>
    </row>
    <row r="173">
      <c r="D173" s="9"/>
      <c r="F173" s="6"/>
      <c r="G173" s="7"/>
      <c r="H173" s="7"/>
    </row>
    <row r="174">
      <c r="D174" s="9"/>
      <c r="F174" s="6"/>
      <c r="G174" s="7"/>
      <c r="H174" s="7"/>
    </row>
    <row r="175">
      <c r="D175" s="9"/>
      <c r="F175" s="6"/>
      <c r="G175" s="7"/>
      <c r="H175" s="7"/>
    </row>
    <row r="176">
      <c r="D176" s="9"/>
      <c r="F176" s="6"/>
      <c r="G176" s="7"/>
      <c r="H176" s="7"/>
    </row>
    <row r="177">
      <c r="D177" s="9"/>
      <c r="F177" s="6"/>
      <c r="G177" s="7"/>
      <c r="H177" s="7"/>
    </row>
    <row r="178">
      <c r="D178" s="9"/>
      <c r="F178" s="6"/>
      <c r="G178" s="7"/>
      <c r="H178" s="7"/>
    </row>
    <row r="179">
      <c r="D179" s="9"/>
      <c r="F179" s="6"/>
      <c r="G179" s="7"/>
      <c r="H179" s="7"/>
    </row>
    <row r="180">
      <c r="D180" s="9"/>
      <c r="F180" s="6"/>
      <c r="G180" s="7"/>
      <c r="H180" s="7"/>
    </row>
    <row r="181">
      <c r="D181" s="9"/>
      <c r="F181" s="6"/>
      <c r="G181" s="7"/>
      <c r="H181" s="7"/>
    </row>
    <row r="182">
      <c r="D182" s="9"/>
      <c r="F182" s="6"/>
      <c r="G182" s="7"/>
      <c r="H182" s="7"/>
    </row>
    <row r="183">
      <c r="D183" s="9"/>
      <c r="F183" s="6"/>
      <c r="G183" s="7"/>
      <c r="H183" s="7"/>
    </row>
    <row r="184">
      <c r="D184" s="9"/>
      <c r="F184" s="6"/>
      <c r="G184" s="7"/>
      <c r="H184" s="7"/>
    </row>
    <row r="185">
      <c r="D185" s="9"/>
      <c r="F185" s="6"/>
      <c r="G185" s="7"/>
      <c r="H185" s="7"/>
    </row>
    <row r="186">
      <c r="D186" s="9"/>
      <c r="F186" s="6"/>
      <c r="G186" s="7"/>
      <c r="H186" s="7"/>
    </row>
    <row r="187">
      <c r="D187" s="9"/>
      <c r="F187" s="6"/>
      <c r="G187" s="7"/>
      <c r="H187" s="7"/>
    </row>
    <row r="188">
      <c r="D188" s="9"/>
      <c r="F188" s="6"/>
      <c r="G188" s="7"/>
      <c r="H188" s="7"/>
    </row>
    <row r="189">
      <c r="D189" s="9"/>
      <c r="F189" s="6"/>
      <c r="G189" s="7"/>
      <c r="H189" s="7"/>
    </row>
    <row r="190">
      <c r="D190" s="9"/>
      <c r="F190" s="6"/>
      <c r="G190" s="7"/>
      <c r="H190" s="7"/>
    </row>
    <row r="191">
      <c r="D191" s="9"/>
      <c r="F191" s="6"/>
      <c r="G191" s="7"/>
      <c r="H191" s="7"/>
    </row>
    <row r="192">
      <c r="D192" s="9"/>
      <c r="F192" s="6"/>
      <c r="G192" s="7"/>
      <c r="H192" s="7"/>
    </row>
    <row r="193">
      <c r="D193" s="9"/>
      <c r="F193" s="6"/>
      <c r="G193" s="7"/>
      <c r="H193" s="7"/>
    </row>
    <row r="194">
      <c r="D194" s="9"/>
      <c r="F194" s="6"/>
      <c r="G194" s="7"/>
      <c r="H194" s="7"/>
    </row>
    <row r="195">
      <c r="D195" s="9"/>
      <c r="F195" s="6"/>
      <c r="G195" s="7"/>
      <c r="H195" s="7"/>
    </row>
    <row r="196">
      <c r="D196" s="9"/>
      <c r="F196" s="6"/>
      <c r="G196" s="7"/>
      <c r="H196" s="7"/>
    </row>
    <row r="197">
      <c r="D197" s="9"/>
      <c r="F197" s="6"/>
      <c r="G197" s="7"/>
      <c r="H197" s="7"/>
    </row>
    <row r="198">
      <c r="D198" s="9"/>
      <c r="F198" s="6"/>
      <c r="G198" s="7"/>
      <c r="H198" s="7"/>
    </row>
    <row r="199">
      <c r="D199" s="9"/>
      <c r="F199" s="6"/>
      <c r="G199" s="7"/>
      <c r="H199" s="7"/>
    </row>
    <row r="200">
      <c r="D200" s="9"/>
      <c r="F200" s="6"/>
      <c r="G200" s="7"/>
      <c r="H200" s="7"/>
    </row>
    <row r="201">
      <c r="D201" s="9"/>
      <c r="F201" s="6"/>
      <c r="G201" s="7"/>
      <c r="H201" s="7"/>
    </row>
    <row r="202">
      <c r="D202" s="9"/>
      <c r="F202" s="6"/>
      <c r="G202" s="7"/>
      <c r="H202" s="7"/>
    </row>
    <row r="203">
      <c r="D203" s="9"/>
      <c r="F203" s="6"/>
      <c r="G203" s="7"/>
      <c r="H203" s="7"/>
    </row>
    <row r="204">
      <c r="D204" s="9"/>
      <c r="F204" s="6"/>
      <c r="G204" s="7"/>
      <c r="H204" s="7"/>
    </row>
    <row r="205">
      <c r="D205" s="9"/>
      <c r="F205" s="6"/>
      <c r="G205" s="7"/>
      <c r="H205" s="7"/>
    </row>
    <row r="206">
      <c r="D206" s="9"/>
      <c r="F206" s="6"/>
      <c r="G206" s="7"/>
      <c r="H206" s="7"/>
    </row>
    <row r="207">
      <c r="D207" s="9"/>
      <c r="F207" s="6"/>
      <c r="G207" s="7"/>
      <c r="H207" s="7"/>
    </row>
    <row r="208">
      <c r="D208" s="9"/>
      <c r="F208" s="6"/>
      <c r="G208" s="7"/>
      <c r="H208" s="7"/>
    </row>
    <row r="209">
      <c r="D209" s="9"/>
      <c r="F209" s="6"/>
      <c r="G209" s="7"/>
      <c r="H209" s="7"/>
    </row>
    <row r="210">
      <c r="D210" s="9"/>
      <c r="F210" s="6"/>
      <c r="G210" s="7"/>
      <c r="H210" s="7"/>
    </row>
    <row r="211">
      <c r="D211" s="9"/>
      <c r="F211" s="6"/>
      <c r="G211" s="7"/>
      <c r="H211" s="7"/>
    </row>
    <row r="212">
      <c r="D212" s="9"/>
      <c r="F212" s="6"/>
      <c r="G212" s="7"/>
      <c r="H212" s="7"/>
    </row>
    <row r="213">
      <c r="D213" s="9"/>
      <c r="F213" s="6"/>
      <c r="G213" s="7"/>
      <c r="H213" s="7"/>
    </row>
    <row r="214">
      <c r="D214" s="9"/>
      <c r="F214" s="6"/>
      <c r="G214" s="7"/>
      <c r="H214" s="7"/>
    </row>
    <row r="215">
      <c r="D215" s="9"/>
      <c r="F215" s="6"/>
      <c r="G215" s="7"/>
      <c r="H215" s="7"/>
    </row>
    <row r="216">
      <c r="D216" s="9"/>
      <c r="F216" s="6"/>
      <c r="G216" s="7"/>
      <c r="H216" s="7"/>
    </row>
    <row r="217">
      <c r="D217" s="9"/>
      <c r="F217" s="6"/>
      <c r="G217" s="7"/>
      <c r="H217" s="7"/>
    </row>
    <row r="218">
      <c r="D218" s="9"/>
      <c r="F218" s="6"/>
      <c r="G218" s="7"/>
      <c r="H218" s="7"/>
    </row>
    <row r="219">
      <c r="D219" s="9"/>
      <c r="F219" s="6"/>
      <c r="G219" s="7"/>
      <c r="H219" s="7"/>
    </row>
    <row r="220">
      <c r="D220" s="9"/>
      <c r="F220" s="6"/>
      <c r="G220" s="7"/>
      <c r="H220" s="7"/>
    </row>
    <row r="221">
      <c r="D221" s="9"/>
      <c r="F221" s="6"/>
      <c r="G221" s="7"/>
      <c r="H221" s="7"/>
    </row>
    <row r="222">
      <c r="D222" s="9"/>
      <c r="F222" s="6"/>
      <c r="G222" s="7"/>
      <c r="H222" s="7"/>
    </row>
    <row r="223">
      <c r="D223" s="9"/>
      <c r="F223" s="6"/>
      <c r="G223" s="7"/>
      <c r="H223" s="7"/>
    </row>
    <row r="224">
      <c r="D224" s="9"/>
      <c r="F224" s="6"/>
      <c r="G224" s="7"/>
      <c r="H224" s="7"/>
    </row>
    <row r="225">
      <c r="D225" s="9"/>
      <c r="F225" s="6"/>
      <c r="G225" s="7"/>
      <c r="H225" s="7"/>
    </row>
    <row r="226">
      <c r="D226" s="9"/>
      <c r="F226" s="6"/>
      <c r="G226" s="7"/>
      <c r="H226" s="7"/>
    </row>
    <row r="227">
      <c r="D227" s="9"/>
      <c r="F227" s="6"/>
      <c r="G227" s="7"/>
      <c r="H227" s="7"/>
    </row>
    <row r="228">
      <c r="D228" s="9"/>
      <c r="F228" s="6"/>
      <c r="G228" s="7"/>
      <c r="H228" s="7"/>
    </row>
    <row r="229">
      <c r="D229" s="9"/>
      <c r="F229" s="6"/>
      <c r="G229" s="7"/>
      <c r="H229" s="7"/>
    </row>
    <row r="230">
      <c r="D230" s="9"/>
      <c r="F230" s="6"/>
      <c r="G230" s="7"/>
      <c r="H230" s="7"/>
    </row>
    <row r="231">
      <c r="D231" s="9"/>
      <c r="F231" s="6"/>
      <c r="G231" s="7"/>
      <c r="H231" s="7"/>
    </row>
    <row r="232">
      <c r="D232" s="9"/>
      <c r="F232" s="6"/>
      <c r="G232" s="7"/>
      <c r="H232" s="7"/>
    </row>
    <row r="233">
      <c r="D233" s="9"/>
      <c r="F233" s="6"/>
      <c r="G233" s="7"/>
      <c r="H233" s="7"/>
    </row>
    <row r="234">
      <c r="D234" s="9"/>
      <c r="F234" s="6"/>
      <c r="G234" s="7"/>
      <c r="H234" s="7"/>
    </row>
    <row r="235">
      <c r="D235" s="9"/>
      <c r="F235" s="6"/>
      <c r="G235" s="7"/>
      <c r="H235" s="7"/>
    </row>
    <row r="236">
      <c r="D236" s="9"/>
      <c r="F236" s="6"/>
      <c r="G236" s="7"/>
      <c r="H236" s="7"/>
    </row>
    <row r="237">
      <c r="D237" s="9"/>
      <c r="F237" s="6"/>
      <c r="G237" s="7"/>
      <c r="H237" s="7"/>
    </row>
    <row r="238">
      <c r="D238" s="9"/>
      <c r="F238" s="6"/>
      <c r="G238" s="7"/>
      <c r="H238" s="7"/>
    </row>
    <row r="239">
      <c r="D239" s="9"/>
      <c r="F239" s="6"/>
      <c r="G239" s="7"/>
      <c r="H239" s="7"/>
    </row>
    <row r="240">
      <c r="D240" s="9"/>
      <c r="F240" s="6"/>
      <c r="G240" s="7"/>
      <c r="H240" s="7"/>
    </row>
    <row r="241">
      <c r="D241" s="9"/>
      <c r="F241" s="6"/>
      <c r="G241" s="7"/>
      <c r="H241" s="7"/>
    </row>
    <row r="242">
      <c r="D242" s="9"/>
      <c r="F242" s="6"/>
      <c r="G242" s="7"/>
      <c r="H242" s="7"/>
    </row>
    <row r="243">
      <c r="D243" s="9"/>
      <c r="F243" s="6"/>
      <c r="G243" s="7"/>
      <c r="H243" s="7"/>
    </row>
    <row r="244">
      <c r="D244" s="9"/>
      <c r="F244" s="6"/>
      <c r="G244" s="7"/>
      <c r="H244" s="7"/>
    </row>
    <row r="245">
      <c r="D245" s="9"/>
      <c r="F245" s="6"/>
      <c r="G245" s="7"/>
      <c r="H245" s="7"/>
    </row>
    <row r="246">
      <c r="D246" s="9"/>
      <c r="F246" s="6"/>
      <c r="G246" s="7"/>
      <c r="H246" s="7"/>
    </row>
    <row r="247">
      <c r="D247" s="9"/>
      <c r="F247" s="6"/>
      <c r="G247" s="7"/>
      <c r="H247" s="7"/>
    </row>
    <row r="248">
      <c r="D248" s="9"/>
      <c r="F248" s="6"/>
      <c r="G248" s="7"/>
      <c r="H248" s="7"/>
    </row>
    <row r="249">
      <c r="D249" s="9"/>
      <c r="F249" s="6"/>
      <c r="G249" s="7"/>
      <c r="H249" s="7"/>
    </row>
    <row r="250">
      <c r="D250" s="9"/>
      <c r="F250" s="6"/>
      <c r="G250" s="7"/>
      <c r="H250" s="7"/>
    </row>
    <row r="251">
      <c r="D251" s="9"/>
      <c r="F251" s="6"/>
      <c r="G251" s="7"/>
      <c r="H251" s="7"/>
    </row>
    <row r="252">
      <c r="D252" s="9"/>
      <c r="F252" s="6"/>
      <c r="G252" s="7"/>
      <c r="H252" s="7"/>
    </row>
    <row r="253">
      <c r="D253" s="9"/>
      <c r="F253" s="6"/>
      <c r="G253" s="7"/>
      <c r="H253" s="7"/>
    </row>
    <row r="254">
      <c r="D254" s="9"/>
      <c r="F254" s="6"/>
      <c r="G254" s="7"/>
      <c r="H254" s="7"/>
    </row>
    <row r="255">
      <c r="D255" s="9"/>
      <c r="F255" s="6"/>
      <c r="G255" s="7"/>
      <c r="H255" s="7"/>
    </row>
    <row r="256">
      <c r="D256" s="9"/>
      <c r="F256" s="6"/>
      <c r="G256" s="7"/>
      <c r="H256" s="7"/>
    </row>
    <row r="257">
      <c r="D257" s="9"/>
      <c r="F257" s="6"/>
      <c r="G257" s="7"/>
      <c r="H257" s="7"/>
    </row>
    <row r="258">
      <c r="D258" s="9"/>
      <c r="F258" s="6"/>
      <c r="G258" s="7"/>
      <c r="H258" s="7"/>
    </row>
    <row r="259">
      <c r="D259" s="9"/>
      <c r="F259" s="6"/>
      <c r="G259" s="7"/>
      <c r="H259" s="7"/>
    </row>
    <row r="260">
      <c r="D260" s="9"/>
      <c r="F260" s="6"/>
      <c r="G260" s="7"/>
      <c r="H260" s="7"/>
    </row>
    <row r="261">
      <c r="D261" s="9"/>
      <c r="F261" s="6"/>
      <c r="G261" s="7"/>
      <c r="H261" s="7"/>
    </row>
    <row r="262">
      <c r="D262" s="9"/>
      <c r="F262" s="6"/>
      <c r="G262" s="7"/>
      <c r="H262" s="7"/>
    </row>
    <row r="263">
      <c r="D263" s="9"/>
      <c r="F263" s="6"/>
      <c r="G263" s="7"/>
      <c r="H263" s="7"/>
    </row>
    <row r="264">
      <c r="D264" s="9"/>
      <c r="F264" s="6"/>
      <c r="G264" s="7"/>
      <c r="H264" s="7"/>
    </row>
    <row r="265">
      <c r="D265" s="9"/>
      <c r="F265" s="6"/>
      <c r="G265" s="7"/>
      <c r="H265" s="7"/>
    </row>
    <row r="266">
      <c r="D266" s="9"/>
      <c r="F266" s="6"/>
      <c r="G266" s="7"/>
      <c r="H266" s="7"/>
    </row>
    <row r="267">
      <c r="D267" s="9"/>
      <c r="F267" s="6"/>
      <c r="G267" s="7"/>
      <c r="H267" s="7"/>
    </row>
    <row r="268">
      <c r="D268" s="9"/>
      <c r="F268" s="6"/>
      <c r="G268" s="7"/>
      <c r="H268" s="7"/>
    </row>
    <row r="269">
      <c r="D269" s="9"/>
      <c r="F269" s="6"/>
      <c r="G269" s="7"/>
      <c r="H269" s="7"/>
    </row>
    <row r="270">
      <c r="D270" s="9"/>
      <c r="F270" s="6"/>
      <c r="G270" s="7"/>
      <c r="H270" s="7"/>
    </row>
    <row r="271">
      <c r="D271" s="9"/>
      <c r="F271" s="6"/>
      <c r="G271" s="7"/>
      <c r="H271" s="7"/>
    </row>
    <row r="272">
      <c r="D272" s="9"/>
      <c r="F272" s="6"/>
      <c r="G272" s="7"/>
      <c r="H272" s="7"/>
    </row>
    <row r="273">
      <c r="D273" s="9"/>
      <c r="F273" s="6"/>
      <c r="G273" s="7"/>
      <c r="H273" s="7"/>
    </row>
    <row r="274">
      <c r="D274" s="9"/>
      <c r="F274" s="6"/>
      <c r="G274" s="7"/>
      <c r="H274" s="7"/>
    </row>
    <row r="275">
      <c r="D275" s="9"/>
      <c r="F275" s="6"/>
      <c r="G275" s="7"/>
      <c r="H275" s="7"/>
    </row>
    <row r="276">
      <c r="D276" s="9"/>
      <c r="F276" s="6"/>
      <c r="G276" s="7"/>
      <c r="H276" s="7"/>
    </row>
    <row r="277">
      <c r="D277" s="9"/>
      <c r="F277" s="6"/>
      <c r="G277" s="7"/>
      <c r="H277" s="7"/>
    </row>
    <row r="278">
      <c r="D278" s="9"/>
      <c r="F278" s="6"/>
      <c r="G278" s="7"/>
      <c r="H278" s="7"/>
    </row>
    <row r="279">
      <c r="D279" s="9"/>
      <c r="F279" s="6"/>
      <c r="G279" s="7"/>
      <c r="H279" s="7"/>
    </row>
    <row r="280">
      <c r="D280" s="9"/>
      <c r="F280" s="6"/>
      <c r="G280" s="7"/>
      <c r="H280" s="7"/>
    </row>
    <row r="281">
      <c r="D281" s="9"/>
      <c r="F281" s="6"/>
      <c r="G281" s="7"/>
      <c r="H281" s="7"/>
    </row>
    <row r="282">
      <c r="D282" s="9"/>
      <c r="F282" s="6"/>
      <c r="G282" s="7"/>
      <c r="H282" s="7"/>
    </row>
    <row r="283">
      <c r="D283" s="9"/>
      <c r="F283" s="6"/>
      <c r="G283" s="7"/>
      <c r="H283" s="7"/>
    </row>
    <row r="284">
      <c r="D284" s="9"/>
      <c r="F284" s="6"/>
      <c r="G284" s="7"/>
      <c r="H284" s="7"/>
    </row>
    <row r="285">
      <c r="D285" s="9"/>
      <c r="F285" s="6"/>
      <c r="G285" s="7"/>
      <c r="H285" s="7"/>
    </row>
    <row r="286">
      <c r="D286" s="9"/>
      <c r="F286" s="6"/>
      <c r="G286" s="7"/>
      <c r="H286" s="7"/>
    </row>
    <row r="287">
      <c r="D287" s="9"/>
      <c r="F287" s="6"/>
      <c r="G287" s="7"/>
      <c r="H287" s="7"/>
    </row>
    <row r="288">
      <c r="D288" s="9"/>
      <c r="F288" s="6"/>
      <c r="G288" s="7"/>
      <c r="H288" s="7"/>
    </row>
    <row r="289">
      <c r="D289" s="9"/>
      <c r="F289" s="6"/>
      <c r="G289" s="7"/>
      <c r="H289" s="7"/>
    </row>
    <row r="290">
      <c r="D290" s="9"/>
      <c r="F290" s="6"/>
      <c r="G290" s="7"/>
      <c r="H290" s="7"/>
    </row>
    <row r="291">
      <c r="D291" s="9"/>
      <c r="F291" s="6"/>
      <c r="G291" s="7"/>
      <c r="H291" s="7"/>
    </row>
    <row r="292">
      <c r="D292" s="9"/>
      <c r="F292" s="6"/>
      <c r="G292" s="7"/>
      <c r="H292" s="7"/>
    </row>
    <row r="293">
      <c r="D293" s="9"/>
      <c r="F293" s="6"/>
      <c r="G293" s="7"/>
      <c r="H293" s="7"/>
    </row>
    <row r="294">
      <c r="D294" s="9"/>
      <c r="F294" s="6"/>
      <c r="G294" s="7"/>
      <c r="H294" s="7"/>
    </row>
    <row r="295">
      <c r="D295" s="9"/>
      <c r="F295" s="6"/>
      <c r="G295" s="7"/>
      <c r="H295" s="7"/>
    </row>
    <row r="296">
      <c r="D296" s="9"/>
      <c r="F296" s="6"/>
      <c r="G296" s="7"/>
      <c r="H296" s="7"/>
    </row>
    <row r="297">
      <c r="D297" s="9"/>
      <c r="F297" s="6"/>
      <c r="G297" s="7"/>
      <c r="H297" s="7"/>
    </row>
    <row r="298">
      <c r="D298" s="9"/>
      <c r="F298" s="6"/>
      <c r="G298" s="7"/>
      <c r="H298" s="7"/>
    </row>
    <row r="299">
      <c r="D299" s="9"/>
      <c r="F299" s="6"/>
      <c r="G299" s="7"/>
      <c r="H299" s="7"/>
    </row>
    <row r="300">
      <c r="D300" s="9"/>
      <c r="F300" s="6"/>
      <c r="G300" s="7"/>
      <c r="H300" s="7"/>
    </row>
    <row r="301">
      <c r="D301" s="9"/>
      <c r="F301" s="6"/>
      <c r="G301" s="7"/>
      <c r="H301" s="7"/>
    </row>
    <row r="302">
      <c r="D302" s="9"/>
      <c r="F302" s="6"/>
      <c r="G302" s="7"/>
      <c r="H302" s="7"/>
    </row>
    <row r="303">
      <c r="D303" s="9"/>
      <c r="F303" s="6"/>
      <c r="G303" s="7"/>
      <c r="H303" s="7"/>
    </row>
    <row r="304">
      <c r="D304" s="9"/>
      <c r="F304" s="6"/>
      <c r="G304" s="7"/>
      <c r="H304" s="7"/>
    </row>
    <row r="305">
      <c r="D305" s="9"/>
      <c r="F305" s="6"/>
      <c r="G305" s="7"/>
      <c r="H305" s="7"/>
    </row>
    <row r="306">
      <c r="D306" s="9"/>
      <c r="F306" s="6"/>
      <c r="G306" s="7"/>
      <c r="H306" s="7"/>
    </row>
    <row r="307">
      <c r="D307" s="9"/>
      <c r="F307" s="6"/>
      <c r="G307" s="7"/>
      <c r="H307" s="7"/>
    </row>
    <row r="308">
      <c r="D308" s="9"/>
      <c r="F308" s="6"/>
      <c r="G308" s="7"/>
      <c r="H308" s="7"/>
    </row>
    <row r="309">
      <c r="D309" s="9"/>
      <c r="F309" s="6"/>
      <c r="G309" s="7"/>
      <c r="H309" s="7"/>
    </row>
    <row r="310">
      <c r="D310" s="9"/>
      <c r="F310" s="6"/>
      <c r="G310" s="7"/>
      <c r="H310" s="7"/>
    </row>
    <row r="311">
      <c r="D311" s="9"/>
      <c r="F311" s="6"/>
      <c r="G311" s="7"/>
      <c r="H311" s="7"/>
    </row>
    <row r="312">
      <c r="D312" s="9"/>
      <c r="F312" s="6"/>
      <c r="G312" s="7"/>
      <c r="H312" s="7"/>
    </row>
    <row r="313">
      <c r="D313" s="9"/>
      <c r="F313" s="6"/>
      <c r="G313" s="7"/>
      <c r="H313" s="7"/>
    </row>
    <row r="314">
      <c r="D314" s="9"/>
      <c r="F314" s="6"/>
      <c r="G314" s="7"/>
      <c r="H314" s="7"/>
    </row>
    <row r="315">
      <c r="D315" s="9"/>
      <c r="F315" s="6"/>
      <c r="G315" s="7"/>
      <c r="H315" s="7"/>
    </row>
    <row r="316">
      <c r="D316" s="9"/>
      <c r="F316" s="6"/>
      <c r="G316" s="7"/>
      <c r="H316" s="7"/>
    </row>
    <row r="317">
      <c r="D317" s="9"/>
      <c r="F317" s="6"/>
      <c r="G317" s="7"/>
      <c r="H317" s="7"/>
    </row>
    <row r="318">
      <c r="D318" s="9"/>
      <c r="F318" s="6"/>
      <c r="G318" s="7"/>
      <c r="H318" s="7"/>
    </row>
    <row r="319">
      <c r="D319" s="9"/>
      <c r="F319" s="6"/>
      <c r="G319" s="7"/>
      <c r="H319" s="7"/>
    </row>
    <row r="320">
      <c r="D320" s="9"/>
      <c r="F320" s="6"/>
      <c r="G320" s="7"/>
      <c r="H320" s="7"/>
    </row>
    <row r="321">
      <c r="D321" s="9"/>
      <c r="F321" s="6"/>
      <c r="G321" s="7"/>
      <c r="H321" s="7"/>
    </row>
    <row r="322">
      <c r="D322" s="9"/>
      <c r="F322" s="6"/>
      <c r="G322" s="7"/>
      <c r="H322" s="7"/>
    </row>
    <row r="323">
      <c r="D323" s="9"/>
      <c r="F323" s="6"/>
      <c r="G323" s="7"/>
      <c r="H323" s="7"/>
    </row>
    <row r="324">
      <c r="D324" s="9"/>
      <c r="F324" s="6"/>
      <c r="G324" s="7"/>
      <c r="H324" s="7"/>
    </row>
    <row r="325">
      <c r="D325" s="9"/>
      <c r="F325" s="6"/>
      <c r="G325" s="7"/>
      <c r="H325" s="7"/>
    </row>
    <row r="326">
      <c r="D326" s="9"/>
      <c r="F326" s="6"/>
      <c r="G326" s="7"/>
      <c r="H326" s="7"/>
    </row>
    <row r="327">
      <c r="D327" s="9"/>
      <c r="F327" s="6"/>
      <c r="G327" s="7"/>
      <c r="H327" s="7"/>
    </row>
    <row r="328">
      <c r="D328" s="9"/>
      <c r="F328" s="6"/>
      <c r="G328" s="7"/>
      <c r="H328" s="7"/>
    </row>
    <row r="329">
      <c r="D329" s="9"/>
      <c r="F329" s="6"/>
      <c r="G329" s="7"/>
      <c r="H329" s="7"/>
    </row>
    <row r="330">
      <c r="D330" s="9"/>
      <c r="F330" s="6"/>
      <c r="G330" s="7"/>
      <c r="H330" s="7"/>
    </row>
    <row r="331">
      <c r="D331" s="9"/>
      <c r="F331" s="6"/>
      <c r="G331" s="7"/>
      <c r="H331" s="7"/>
    </row>
    <row r="332">
      <c r="D332" s="9"/>
      <c r="F332" s="6"/>
      <c r="G332" s="7"/>
      <c r="H332" s="7"/>
    </row>
    <row r="333">
      <c r="D333" s="9"/>
      <c r="F333" s="6"/>
      <c r="G333" s="7"/>
      <c r="H333" s="7"/>
    </row>
    <row r="334">
      <c r="D334" s="9"/>
      <c r="F334" s="6"/>
      <c r="G334" s="7"/>
      <c r="H334" s="7"/>
    </row>
    <row r="335">
      <c r="D335" s="9"/>
      <c r="F335" s="6"/>
      <c r="G335" s="7"/>
      <c r="H335" s="7"/>
    </row>
    <row r="336">
      <c r="D336" s="9"/>
      <c r="F336" s="6"/>
      <c r="G336" s="7"/>
      <c r="H336" s="7"/>
    </row>
    <row r="337">
      <c r="D337" s="9"/>
      <c r="F337" s="6"/>
      <c r="G337" s="7"/>
      <c r="H337" s="7"/>
    </row>
    <row r="338">
      <c r="D338" s="9"/>
      <c r="F338" s="6"/>
      <c r="G338" s="7"/>
      <c r="H338" s="7"/>
    </row>
    <row r="339">
      <c r="D339" s="9"/>
      <c r="F339" s="6"/>
      <c r="G339" s="7"/>
      <c r="H339" s="7"/>
    </row>
    <row r="340">
      <c r="D340" s="9"/>
      <c r="F340" s="6"/>
      <c r="G340" s="7"/>
      <c r="H340" s="7"/>
    </row>
    <row r="341">
      <c r="D341" s="9"/>
      <c r="F341" s="6"/>
      <c r="G341" s="7"/>
      <c r="H341" s="7"/>
    </row>
    <row r="342">
      <c r="D342" s="9"/>
      <c r="F342" s="6"/>
      <c r="G342" s="7"/>
      <c r="H342" s="7"/>
    </row>
    <row r="343">
      <c r="D343" s="9"/>
      <c r="F343" s="6"/>
      <c r="G343" s="7"/>
      <c r="H343" s="7"/>
    </row>
    <row r="344">
      <c r="D344" s="9"/>
      <c r="F344" s="6"/>
      <c r="G344" s="7"/>
      <c r="H344" s="7"/>
    </row>
    <row r="345">
      <c r="D345" s="9"/>
      <c r="F345" s="6"/>
      <c r="G345" s="7"/>
      <c r="H345" s="7"/>
    </row>
    <row r="346">
      <c r="D346" s="9"/>
      <c r="F346" s="6"/>
      <c r="G346" s="7"/>
      <c r="H346" s="7"/>
    </row>
    <row r="347">
      <c r="D347" s="9"/>
      <c r="F347" s="6"/>
      <c r="G347" s="7"/>
      <c r="H347" s="7"/>
    </row>
    <row r="348">
      <c r="D348" s="9"/>
      <c r="F348" s="6"/>
      <c r="G348" s="7"/>
      <c r="H348" s="7"/>
    </row>
    <row r="349">
      <c r="D349" s="9"/>
      <c r="F349" s="6"/>
      <c r="G349" s="7"/>
      <c r="H349" s="7"/>
    </row>
    <row r="350">
      <c r="D350" s="9"/>
      <c r="F350" s="6"/>
      <c r="G350" s="7"/>
      <c r="H350" s="7"/>
    </row>
    <row r="351">
      <c r="D351" s="9"/>
      <c r="F351" s="6"/>
      <c r="G351" s="7"/>
      <c r="H351" s="7"/>
    </row>
    <row r="352">
      <c r="D352" s="9"/>
      <c r="F352" s="6"/>
      <c r="G352" s="7"/>
      <c r="H352" s="7"/>
    </row>
    <row r="353">
      <c r="D353" s="9"/>
      <c r="F353" s="6"/>
      <c r="G353" s="7"/>
      <c r="H353" s="7"/>
    </row>
    <row r="354">
      <c r="D354" s="9"/>
      <c r="F354" s="6"/>
      <c r="G354" s="7"/>
      <c r="H354" s="7"/>
    </row>
    <row r="355">
      <c r="D355" s="9"/>
      <c r="F355" s="6"/>
      <c r="G355" s="7"/>
      <c r="H355" s="7"/>
    </row>
    <row r="356">
      <c r="D356" s="9"/>
      <c r="F356" s="6"/>
      <c r="G356" s="7"/>
      <c r="H356" s="7"/>
    </row>
    <row r="357">
      <c r="D357" s="9"/>
      <c r="F357" s="6"/>
      <c r="G357" s="7"/>
      <c r="H357" s="7"/>
    </row>
    <row r="358">
      <c r="D358" s="9"/>
      <c r="F358" s="6"/>
      <c r="G358" s="7"/>
      <c r="H358" s="7"/>
    </row>
    <row r="359">
      <c r="D359" s="9"/>
      <c r="F359" s="6"/>
      <c r="G359" s="7"/>
      <c r="H359" s="7"/>
    </row>
    <row r="360">
      <c r="D360" s="9"/>
      <c r="F360" s="6"/>
      <c r="G360" s="7"/>
      <c r="H360" s="7"/>
    </row>
    <row r="361">
      <c r="D361" s="9"/>
      <c r="F361" s="6"/>
      <c r="G361" s="7"/>
      <c r="H361" s="7"/>
    </row>
    <row r="362">
      <c r="D362" s="9"/>
      <c r="F362" s="6"/>
      <c r="G362" s="7"/>
      <c r="H362" s="7"/>
    </row>
    <row r="363">
      <c r="D363" s="9"/>
      <c r="F363" s="6"/>
      <c r="G363" s="7"/>
      <c r="H363" s="7"/>
    </row>
    <row r="364">
      <c r="D364" s="9"/>
      <c r="F364" s="6"/>
      <c r="G364" s="7"/>
      <c r="H364" s="7"/>
    </row>
    <row r="365">
      <c r="D365" s="9"/>
      <c r="F365" s="6"/>
      <c r="G365" s="7"/>
      <c r="H365" s="7"/>
    </row>
    <row r="366">
      <c r="D366" s="9"/>
      <c r="F366" s="6"/>
      <c r="G366" s="7"/>
      <c r="H366" s="7"/>
    </row>
    <row r="367">
      <c r="D367" s="9"/>
      <c r="F367" s="6"/>
      <c r="G367" s="7"/>
      <c r="H367" s="7"/>
    </row>
    <row r="368">
      <c r="D368" s="9"/>
      <c r="F368" s="6"/>
      <c r="G368" s="7"/>
      <c r="H368" s="7"/>
    </row>
    <row r="369">
      <c r="D369" s="9"/>
      <c r="F369" s="6"/>
      <c r="G369" s="7"/>
      <c r="H369" s="7"/>
    </row>
    <row r="370">
      <c r="D370" s="9"/>
      <c r="F370" s="6"/>
      <c r="G370" s="7"/>
      <c r="H370" s="7"/>
    </row>
    <row r="371">
      <c r="D371" s="9"/>
      <c r="F371" s="6"/>
      <c r="G371" s="7"/>
      <c r="H371" s="7"/>
    </row>
    <row r="372">
      <c r="D372" s="9"/>
      <c r="F372" s="6"/>
      <c r="G372" s="7"/>
      <c r="H372" s="7"/>
    </row>
    <row r="373">
      <c r="D373" s="9"/>
      <c r="F373" s="6"/>
      <c r="G373" s="7"/>
      <c r="H373" s="7"/>
    </row>
    <row r="374">
      <c r="D374" s="9"/>
      <c r="F374" s="6"/>
      <c r="G374" s="7"/>
      <c r="H374" s="7"/>
    </row>
    <row r="375">
      <c r="D375" s="9"/>
      <c r="F375" s="6"/>
      <c r="G375" s="7"/>
      <c r="H375" s="7"/>
    </row>
    <row r="376">
      <c r="D376" s="9"/>
      <c r="F376" s="6"/>
      <c r="G376" s="7"/>
      <c r="H376" s="7"/>
    </row>
    <row r="377">
      <c r="D377" s="9"/>
      <c r="F377" s="6"/>
      <c r="G377" s="7"/>
      <c r="H377" s="7"/>
    </row>
    <row r="378">
      <c r="D378" s="9"/>
      <c r="F378" s="6"/>
      <c r="G378" s="7"/>
      <c r="H378" s="7"/>
    </row>
    <row r="379">
      <c r="D379" s="9"/>
      <c r="F379" s="6"/>
      <c r="G379" s="7"/>
      <c r="H379" s="7"/>
    </row>
    <row r="380">
      <c r="D380" s="9"/>
      <c r="F380" s="6"/>
      <c r="G380" s="7"/>
      <c r="H380" s="7"/>
    </row>
    <row r="381">
      <c r="D381" s="9"/>
      <c r="F381" s="6"/>
      <c r="G381" s="7"/>
      <c r="H381" s="7"/>
    </row>
    <row r="382">
      <c r="D382" s="9"/>
      <c r="F382" s="6"/>
      <c r="G382" s="7"/>
      <c r="H382" s="7"/>
    </row>
    <row r="383">
      <c r="D383" s="9"/>
      <c r="F383" s="6"/>
      <c r="G383" s="7"/>
      <c r="H383" s="7"/>
    </row>
    <row r="384">
      <c r="D384" s="9"/>
      <c r="F384" s="6"/>
      <c r="G384" s="7"/>
      <c r="H384" s="7"/>
    </row>
    <row r="385">
      <c r="D385" s="9"/>
      <c r="F385" s="6"/>
      <c r="G385" s="7"/>
      <c r="H385" s="7"/>
    </row>
    <row r="386">
      <c r="D386" s="9"/>
      <c r="F386" s="6"/>
      <c r="G386" s="7"/>
      <c r="H386" s="7"/>
    </row>
    <row r="387">
      <c r="D387" s="9"/>
      <c r="F387" s="6"/>
      <c r="G387" s="7"/>
      <c r="H387" s="7"/>
    </row>
    <row r="388">
      <c r="D388" s="9"/>
      <c r="F388" s="6"/>
      <c r="G388" s="7"/>
      <c r="H388" s="7"/>
    </row>
    <row r="389">
      <c r="D389" s="9"/>
      <c r="F389" s="6"/>
      <c r="G389" s="7"/>
      <c r="H389" s="7"/>
    </row>
    <row r="390">
      <c r="D390" s="9"/>
      <c r="F390" s="6"/>
      <c r="G390" s="7"/>
      <c r="H390" s="7"/>
    </row>
    <row r="391">
      <c r="D391" s="9"/>
      <c r="F391" s="6"/>
      <c r="G391" s="7"/>
      <c r="H391" s="7"/>
    </row>
    <row r="392">
      <c r="D392" s="9"/>
      <c r="F392" s="6"/>
      <c r="G392" s="7"/>
      <c r="H392" s="7"/>
    </row>
    <row r="393">
      <c r="D393" s="9"/>
      <c r="F393" s="6"/>
      <c r="G393" s="7"/>
      <c r="H393" s="7"/>
    </row>
    <row r="394">
      <c r="D394" s="9"/>
      <c r="F394" s="6"/>
      <c r="G394" s="7"/>
      <c r="H394" s="7"/>
    </row>
    <row r="395">
      <c r="D395" s="9"/>
      <c r="F395" s="6"/>
      <c r="G395" s="7"/>
      <c r="H395" s="7"/>
    </row>
    <row r="396">
      <c r="D396" s="9"/>
      <c r="F396" s="6"/>
      <c r="G396" s="7"/>
      <c r="H396" s="7"/>
    </row>
    <row r="397">
      <c r="D397" s="9"/>
      <c r="F397" s="6"/>
      <c r="G397" s="7"/>
      <c r="H397" s="7"/>
    </row>
    <row r="398">
      <c r="D398" s="9"/>
      <c r="F398" s="6"/>
      <c r="G398" s="7"/>
      <c r="H398" s="7"/>
    </row>
    <row r="399">
      <c r="D399" s="9"/>
      <c r="F399" s="6"/>
      <c r="G399" s="7"/>
      <c r="H399" s="7"/>
    </row>
    <row r="400">
      <c r="D400" s="9"/>
      <c r="F400" s="6"/>
      <c r="G400" s="7"/>
      <c r="H400" s="7"/>
    </row>
    <row r="401">
      <c r="D401" s="9"/>
      <c r="F401" s="6"/>
      <c r="G401" s="7"/>
      <c r="H401" s="7"/>
    </row>
    <row r="402">
      <c r="D402" s="9"/>
      <c r="F402" s="6"/>
      <c r="G402" s="7"/>
      <c r="H402" s="7"/>
    </row>
    <row r="403">
      <c r="D403" s="9"/>
      <c r="F403" s="6"/>
      <c r="G403" s="7"/>
      <c r="H403" s="7"/>
    </row>
    <row r="404">
      <c r="D404" s="9"/>
      <c r="F404" s="6"/>
      <c r="G404" s="7"/>
      <c r="H404" s="7"/>
    </row>
    <row r="405">
      <c r="D405" s="9"/>
      <c r="F405" s="6"/>
      <c r="G405" s="7"/>
      <c r="H405" s="7"/>
    </row>
    <row r="406">
      <c r="D406" s="9"/>
      <c r="F406" s="6"/>
      <c r="G406" s="7"/>
      <c r="H406" s="7"/>
    </row>
    <row r="407">
      <c r="D407" s="9"/>
      <c r="F407" s="6"/>
      <c r="G407" s="7"/>
      <c r="H407" s="7"/>
    </row>
    <row r="408">
      <c r="D408" s="9"/>
      <c r="F408" s="6"/>
      <c r="G408" s="7"/>
      <c r="H408" s="7"/>
    </row>
    <row r="409">
      <c r="D409" s="9"/>
      <c r="F409" s="6"/>
      <c r="G409" s="7"/>
      <c r="H409" s="7"/>
    </row>
    <row r="410">
      <c r="D410" s="9"/>
      <c r="F410" s="6"/>
      <c r="G410" s="7"/>
      <c r="H410" s="7"/>
    </row>
    <row r="411">
      <c r="D411" s="9"/>
      <c r="F411" s="6"/>
      <c r="G411" s="7"/>
      <c r="H411" s="7"/>
    </row>
    <row r="412">
      <c r="D412" s="9"/>
      <c r="F412" s="6"/>
      <c r="G412" s="7"/>
      <c r="H412" s="7"/>
    </row>
    <row r="413">
      <c r="D413" s="9"/>
      <c r="F413" s="6"/>
      <c r="G413" s="7"/>
      <c r="H413" s="7"/>
    </row>
    <row r="414">
      <c r="D414" s="9"/>
      <c r="F414" s="6"/>
      <c r="G414" s="7"/>
      <c r="H414" s="7"/>
    </row>
    <row r="415">
      <c r="D415" s="9"/>
      <c r="F415" s="6"/>
      <c r="G415" s="7"/>
      <c r="H415" s="7"/>
    </row>
    <row r="416">
      <c r="D416" s="9"/>
      <c r="F416" s="6"/>
      <c r="G416" s="7"/>
      <c r="H416" s="7"/>
    </row>
    <row r="417">
      <c r="D417" s="9"/>
      <c r="F417" s="6"/>
      <c r="G417" s="7"/>
      <c r="H417" s="7"/>
    </row>
    <row r="418">
      <c r="D418" s="9"/>
      <c r="F418" s="6"/>
      <c r="G418" s="7"/>
      <c r="H418" s="7"/>
    </row>
    <row r="419">
      <c r="D419" s="9"/>
      <c r="F419" s="6"/>
      <c r="G419" s="7"/>
      <c r="H419" s="7"/>
    </row>
    <row r="420">
      <c r="D420" s="9"/>
      <c r="F420" s="6"/>
      <c r="G420" s="7"/>
      <c r="H420" s="7"/>
    </row>
    <row r="421">
      <c r="D421" s="9"/>
      <c r="F421" s="6"/>
      <c r="G421" s="7"/>
      <c r="H421" s="7"/>
    </row>
    <row r="422">
      <c r="D422" s="9"/>
      <c r="F422" s="6"/>
      <c r="G422" s="7"/>
      <c r="H422" s="7"/>
    </row>
    <row r="423">
      <c r="D423" s="9"/>
      <c r="F423" s="6"/>
      <c r="G423" s="7"/>
      <c r="H423" s="7"/>
    </row>
    <row r="424">
      <c r="D424" s="9"/>
      <c r="F424" s="6"/>
      <c r="G424" s="7"/>
      <c r="H424" s="7"/>
    </row>
    <row r="425">
      <c r="D425" s="9"/>
      <c r="F425" s="6"/>
      <c r="G425" s="7"/>
      <c r="H425" s="7"/>
    </row>
    <row r="426">
      <c r="D426" s="9"/>
      <c r="F426" s="6"/>
      <c r="G426" s="7"/>
      <c r="H426" s="7"/>
    </row>
    <row r="427">
      <c r="D427" s="9"/>
      <c r="F427" s="6"/>
      <c r="G427" s="7"/>
      <c r="H427" s="7"/>
    </row>
    <row r="428">
      <c r="D428" s="9"/>
      <c r="F428" s="6"/>
      <c r="G428" s="7"/>
      <c r="H428" s="7"/>
    </row>
    <row r="429">
      <c r="D429" s="9"/>
      <c r="F429" s="6"/>
      <c r="G429" s="7"/>
      <c r="H429" s="7"/>
    </row>
    <row r="430">
      <c r="D430" s="9"/>
      <c r="F430" s="6"/>
      <c r="G430" s="7"/>
      <c r="H430" s="7"/>
    </row>
    <row r="431">
      <c r="D431" s="9"/>
      <c r="F431" s="6"/>
      <c r="G431" s="7"/>
      <c r="H431" s="7"/>
    </row>
    <row r="432">
      <c r="D432" s="9"/>
      <c r="F432" s="6"/>
      <c r="G432" s="7"/>
      <c r="H432" s="7"/>
    </row>
    <row r="433">
      <c r="D433" s="9"/>
      <c r="F433" s="6"/>
      <c r="G433" s="7"/>
      <c r="H433" s="7"/>
    </row>
    <row r="434">
      <c r="D434" s="9"/>
      <c r="F434" s="6"/>
      <c r="G434" s="7"/>
      <c r="H434" s="7"/>
    </row>
    <row r="435">
      <c r="D435" s="9"/>
      <c r="F435" s="6"/>
      <c r="G435" s="7"/>
      <c r="H435" s="7"/>
    </row>
    <row r="436">
      <c r="D436" s="9"/>
      <c r="F436" s="6"/>
      <c r="G436" s="7"/>
      <c r="H436" s="7"/>
    </row>
    <row r="437">
      <c r="D437" s="9"/>
      <c r="F437" s="6"/>
      <c r="G437" s="7"/>
      <c r="H437" s="7"/>
    </row>
    <row r="438">
      <c r="D438" s="9"/>
      <c r="F438" s="6"/>
      <c r="G438" s="7"/>
      <c r="H438" s="7"/>
    </row>
    <row r="439">
      <c r="D439" s="9"/>
      <c r="F439" s="6"/>
      <c r="G439" s="7"/>
      <c r="H439" s="7"/>
    </row>
    <row r="440">
      <c r="D440" s="9"/>
      <c r="F440" s="6"/>
      <c r="G440" s="7"/>
      <c r="H440" s="7"/>
    </row>
    <row r="441">
      <c r="D441" s="9"/>
      <c r="F441" s="6"/>
      <c r="G441" s="7"/>
      <c r="H441" s="7"/>
    </row>
    <row r="442">
      <c r="D442" s="9"/>
      <c r="F442" s="6"/>
      <c r="G442" s="7"/>
      <c r="H442" s="7"/>
    </row>
    <row r="443">
      <c r="D443" s="9"/>
      <c r="F443" s="6"/>
      <c r="G443" s="7"/>
      <c r="H443" s="7"/>
    </row>
    <row r="444">
      <c r="D444" s="9"/>
      <c r="F444" s="6"/>
      <c r="G444" s="7"/>
      <c r="H444" s="7"/>
    </row>
    <row r="445">
      <c r="D445" s="9"/>
      <c r="F445" s="6"/>
      <c r="G445" s="7"/>
      <c r="H445" s="7"/>
    </row>
    <row r="446">
      <c r="D446" s="9"/>
      <c r="F446" s="6"/>
      <c r="G446" s="7"/>
      <c r="H446" s="7"/>
    </row>
    <row r="447">
      <c r="D447" s="9"/>
      <c r="F447" s="6"/>
      <c r="G447" s="7"/>
      <c r="H447" s="7"/>
    </row>
    <row r="448">
      <c r="D448" s="9"/>
      <c r="F448" s="6"/>
      <c r="G448" s="7"/>
      <c r="H448" s="7"/>
    </row>
    <row r="449">
      <c r="D449" s="9"/>
      <c r="F449" s="6"/>
      <c r="G449" s="7"/>
      <c r="H449" s="7"/>
    </row>
    <row r="450">
      <c r="D450" s="9"/>
      <c r="F450" s="6"/>
      <c r="G450" s="7"/>
      <c r="H450" s="7"/>
    </row>
    <row r="451">
      <c r="D451" s="9"/>
      <c r="F451" s="6"/>
      <c r="G451" s="7"/>
      <c r="H451" s="7"/>
    </row>
    <row r="452">
      <c r="D452" s="9"/>
      <c r="F452" s="6"/>
      <c r="G452" s="7"/>
      <c r="H452" s="7"/>
    </row>
    <row r="453">
      <c r="D453" s="9"/>
      <c r="F453" s="6"/>
      <c r="G453" s="7"/>
      <c r="H453" s="7"/>
    </row>
    <row r="454">
      <c r="D454" s="9"/>
      <c r="F454" s="6"/>
      <c r="G454" s="7"/>
      <c r="H454" s="7"/>
    </row>
    <row r="455">
      <c r="D455" s="9"/>
      <c r="F455" s="6"/>
      <c r="G455" s="7"/>
      <c r="H455" s="7"/>
    </row>
    <row r="456">
      <c r="D456" s="9"/>
      <c r="F456" s="6"/>
      <c r="G456" s="7"/>
      <c r="H456" s="7"/>
    </row>
    <row r="457">
      <c r="D457" s="9"/>
      <c r="F457" s="6"/>
      <c r="G457" s="7"/>
      <c r="H457" s="7"/>
    </row>
    <row r="458">
      <c r="D458" s="9"/>
      <c r="F458" s="6"/>
      <c r="G458" s="7"/>
      <c r="H458" s="7"/>
    </row>
    <row r="459">
      <c r="D459" s="9"/>
      <c r="F459" s="6"/>
      <c r="G459" s="7"/>
      <c r="H459" s="7"/>
    </row>
    <row r="460">
      <c r="D460" s="9"/>
      <c r="F460" s="6"/>
      <c r="G460" s="7"/>
      <c r="H460" s="7"/>
    </row>
    <row r="461">
      <c r="D461" s="9"/>
      <c r="F461" s="6"/>
      <c r="G461" s="7"/>
      <c r="H461" s="7"/>
    </row>
    <row r="462">
      <c r="D462" s="9"/>
      <c r="F462" s="6"/>
      <c r="G462" s="7"/>
      <c r="H462" s="7"/>
    </row>
    <row r="463">
      <c r="D463" s="9"/>
      <c r="F463" s="6"/>
      <c r="G463" s="7"/>
      <c r="H463" s="7"/>
    </row>
    <row r="464">
      <c r="D464" s="9"/>
      <c r="F464" s="6"/>
      <c r="G464" s="7"/>
      <c r="H464" s="7"/>
    </row>
    <row r="465">
      <c r="D465" s="9"/>
      <c r="F465" s="6"/>
      <c r="G465" s="7"/>
      <c r="H465" s="7"/>
    </row>
    <row r="466">
      <c r="D466" s="9"/>
      <c r="F466" s="6"/>
      <c r="G466" s="7"/>
      <c r="H466" s="7"/>
    </row>
    <row r="467">
      <c r="D467" s="9"/>
      <c r="F467" s="6"/>
      <c r="G467" s="7"/>
      <c r="H467" s="7"/>
    </row>
    <row r="468">
      <c r="D468" s="9"/>
      <c r="F468" s="6"/>
      <c r="G468" s="7"/>
      <c r="H468" s="7"/>
    </row>
    <row r="469">
      <c r="D469" s="9"/>
      <c r="F469" s="6"/>
      <c r="G469" s="7"/>
      <c r="H469" s="7"/>
    </row>
    <row r="470">
      <c r="D470" s="9"/>
      <c r="F470" s="6"/>
      <c r="G470" s="7"/>
      <c r="H470" s="7"/>
    </row>
    <row r="471">
      <c r="D471" s="9"/>
      <c r="F471" s="6"/>
      <c r="G471" s="7"/>
      <c r="H471" s="7"/>
    </row>
    <row r="472">
      <c r="D472" s="9"/>
      <c r="F472" s="6"/>
      <c r="G472" s="7"/>
      <c r="H472" s="7"/>
    </row>
    <row r="473">
      <c r="D473" s="9"/>
      <c r="F473" s="6"/>
      <c r="G473" s="7"/>
      <c r="H473" s="7"/>
    </row>
    <row r="474">
      <c r="D474" s="9"/>
      <c r="F474" s="6"/>
      <c r="G474" s="7"/>
      <c r="H474" s="7"/>
    </row>
    <row r="475">
      <c r="D475" s="9"/>
      <c r="F475" s="6"/>
      <c r="G475" s="7"/>
      <c r="H475" s="7"/>
    </row>
    <row r="476">
      <c r="D476" s="9"/>
      <c r="F476" s="6"/>
      <c r="G476" s="7"/>
      <c r="H476" s="7"/>
    </row>
    <row r="477">
      <c r="D477" s="9"/>
      <c r="F477" s="6"/>
      <c r="G477" s="7"/>
      <c r="H477" s="7"/>
    </row>
    <row r="478">
      <c r="D478" s="9"/>
      <c r="F478" s="6"/>
      <c r="G478" s="7"/>
      <c r="H478" s="7"/>
    </row>
    <row r="479">
      <c r="D479" s="9"/>
      <c r="F479" s="6"/>
      <c r="G479" s="7"/>
      <c r="H479" s="7"/>
    </row>
    <row r="480">
      <c r="D480" s="9"/>
      <c r="F480" s="6"/>
      <c r="G480" s="7"/>
      <c r="H480" s="7"/>
    </row>
    <row r="481">
      <c r="D481" s="9"/>
      <c r="F481" s="6"/>
      <c r="G481" s="7"/>
      <c r="H481" s="7"/>
    </row>
    <row r="482">
      <c r="D482" s="9"/>
      <c r="F482" s="6"/>
      <c r="G482" s="7"/>
      <c r="H482" s="7"/>
    </row>
    <row r="483">
      <c r="D483" s="9"/>
      <c r="F483" s="6"/>
      <c r="G483" s="7"/>
      <c r="H483" s="7"/>
    </row>
    <row r="484">
      <c r="D484" s="9"/>
      <c r="F484" s="6"/>
      <c r="G484" s="7"/>
      <c r="H484" s="7"/>
    </row>
    <row r="485">
      <c r="D485" s="9"/>
      <c r="F485" s="6"/>
      <c r="G485" s="7"/>
      <c r="H485" s="7"/>
    </row>
    <row r="486">
      <c r="D486" s="9"/>
      <c r="F486" s="6"/>
      <c r="G486" s="7"/>
      <c r="H486" s="7"/>
    </row>
    <row r="487">
      <c r="D487" s="9"/>
      <c r="F487" s="6"/>
      <c r="G487" s="7"/>
      <c r="H487" s="7"/>
    </row>
    <row r="488">
      <c r="D488" s="9"/>
      <c r="F488" s="6"/>
      <c r="G488" s="7"/>
      <c r="H488" s="7"/>
    </row>
    <row r="489">
      <c r="D489" s="9"/>
      <c r="F489" s="6"/>
      <c r="G489" s="7"/>
      <c r="H489" s="7"/>
    </row>
    <row r="490">
      <c r="D490" s="9"/>
      <c r="F490" s="6"/>
      <c r="G490" s="7"/>
      <c r="H490" s="7"/>
    </row>
    <row r="491">
      <c r="D491" s="9"/>
      <c r="F491" s="6"/>
      <c r="G491" s="7"/>
      <c r="H491" s="7"/>
    </row>
    <row r="492">
      <c r="D492" s="9"/>
      <c r="F492" s="6"/>
      <c r="G492" s="7"/>
      <c r="H492" s="7"/>
    </row>
    <row r="493">
      <c r="D493" s="9"/>
      <c r="F493" s="6"/>
      <c r="G493" s="7"/>
      <c r="H493" s="7"/>
    </row>
    <row r="494">
      <c r="D494" s="9"/>
      <c r="F494" s="6"/>
      <c r="G494" s="7"/>
      <c r="H494" s="7"/>
    </row>
    <row r="495">
      <c r="D495" s="9"/>
      <c r="F495" s="6"/>
      <c r="G495" s="7"/>
      <c r="H495" s="7"/>
    </row>
    <row r="496">
      <c r="D496" s="9"/>
      <c r="F496" s="6"/>
      <c r="G496" s="7"/>
      <c r="H496" s="7"/>
    </row>
    <row r="497">
      <c r="D497" s="9"/>
      <c r="F497" s="6"/>
      <c r="G497" s="7"/>
      <c r="H497" s="7"/>
    </row>
    <row r="498">
      <c r="D498" s="9"/>
      <c r="F498" s="6"/>
      <c r="G498" s="7"/>
      <c r="H498" s="7"/>
    </row>
    <row r="499">
      <c r="D499" s="9"/>
      <c r="F499" s="6"/>
      <c r="G499" s="7"/>
      <c r="H499" s="7"/>
    </row>
    <row r="500">
      <c r="D500" s="9"/>
      <c r="F500" s="6"/>
      <c r="G500" s="7"/>
      <c r="H500" s="7"/>
    </row>
    <row r="501">
      <c r="D501" s="9"/>
      <c r="F501" s="6"/>
      <c r="G501" s="7"/>
      <c r="H501" s="7"/>
    </row>
    <row r="502">
      <c r="D502" s="9"/>
      <c r="F502" s="6"/>
      <c r="G502" s="7"/>
      <c r="H502" s="7"/>
    </row>
    <row r="503">
      <c r="D503" s="9"/>
      <c r="F503" s="6"/>
      <c r="G503" s="7"/>
      <c r="H503" s="7"/>
    </row>
    <row r="504">
      <c r="D504" s="9"/>
      <c r="F504" s="6"/>
      <c r="G504" s="7"/>
      <c r="H504" s="7"/>
    </row>
    <row r="505">
      <c r="D505" s="9"/>
      <c r="F505" s="6"/>
      <c r="G505" s="7"/>
      <c r="H505" s="7"/>
    </row>
    <row r="506">
      <c r="D506" s="9"/>
      <c r="F506" s="6"/>
      <c r="G506" s="7"/>
      <c r="H506" s="7"/>
    </row>
    <row r="507">
      <c r="D507" s="9"/>
      <c r="F507" s="6"/>
      <c r="G507" s="7"/>
      <c r="H507" s="7"/>
    </row>
    <row r="508">
      <c r="D508" s="9"/>
      <c r="F508" s="6"/>
      <c r="G508" s="7"/>
      <c r="H508" s="7"/>
    </row>
    <row r="509">
      <c r="D509" s="9"/>
      <c r="F509" s="6"/>
      <c r="G509" s="7"/>
      <c r="H509" s="7"/>
    </row>
    <row r="510">
      <c r="D510" s="9"/>
      <c r="F510" s="6"/>
      <c r="G510" s="7"/>
      <c r="H510" s="7"/>
    </row>
    <row r="511">
      <c r="D511" s="9"/>
      <c r="F511" s="6"/>
      <c r="G511" s="7"/>
      <c r="H511" s="7"/>
    </row>
    <row r="512">
      <c r="D512" s="9"/>
      <c r="F512" s="6"/>
      <c r="G512" s="7"/>
      <c r="H512" s="7"/>
    </row>
    <row r="513">
      <c r="D513" s="9"/>
      <c r="F513" s="6"/>
      <c r="G513" s="7"/>
      <c r="H513" s="7"/>
    </row>
    <row r="514">
      <c r="D514" s="9"/>
      <c r="F514" s="6"/>
      <c r="G514" s="7"/>
      <c r="H514" s="7"/>
    </row>
    <row r="515">
      <c r="D515" s="9"/>
      <c r="F515" s="6"/>
      <c r="G515" s="7"/>
      <c r="H515" s="7"/>
    </row>
    <row r="516">
      <c r="D516" s="9"/>
      <c r="F516" s="6"/>
      <c r="G516" s="7"/>
      <c r="H516" s="7"/>
    </row>
    <row r="517">
      <c r="D517" s="9"/>
      <c r="F517" s="6"/>
      <c r="G517" s="7"/>
      <c r="H517" s="7"/>
    </row>
    <row r="518">
      <c r="D518" s="9"/>
      <c r="F518" s="6"/>
      <c r="G518" s="7"/>
      <c r="H518" s="7"/>
    </row>
    <row r="519">
      <c r="D519" s="9"/>
      <c r="F519" s="6"/>
      <c r="G519" s="7"/>
      <c r="H519" s="7"/>
    </row>
    <row r="520">
      <c r="D520" s="9"/>
      <c r="F520" s="6"/>
      <c r="G520" s="7"/>
      <c r="H520" s="7"/>
    </row>
    <row r="521">
      <c r="D521" s="9"/>
      <c r="F521" s="6"/>
      <c r="G521" s="7"/>
      <c r="H521" s="7"/>
    </row>
    <row r="522">
      <c r="D522" s="9"/>
      <c r="F522" s="6"/>
      <c r="G522" s="7"/>
      <c r="H522" s="7"/>
    </row>
    <row r="523">
      <c r="D523" s="9"/>
      <c r="F523" s="6"/>
      <c r="G523" s="7"/>
      <c r="H523" s="7"/>
    </row>
    <row r="524">
      <c r="D524" s="9"/>
      <c r="F524" s="6"/>
      <c r="G524" s="7"/>
      <c r="H524" s="7"/>
    </row>
    <row r="525">
      <c r="D525" s="9"/>
      <c r="F525" s="6"/>
      <c r="G525" s="7"/>
      <c r="H525" s="7"/>
    </row>
    <row r="526">
      <c r="D526" s="9"/>
      <c r="F526" s="6"/>
      <c r="G526" s="7"/>
      <c r="H526" s="7"/>
    </row>
    <row r="527">
      <c r="D527" s="9"/>
      <c r="F527" s="6"/>
      <c r="G527" s="7"/>
      <c r="H527" s="7"/>
    </row>
    <row r="528">
      <c r="D528" s="9"/>
      <c r="F528" s="6"/>
      <c r="G528" s="7"/>
      <c r="H528" s="7"/>
    </row>
    <row r="529">
      <c r="D529" s="9"/>
      <c r="F529" s="6"/>
      <c r="G529" s="7"/>
      <c r="H529" s="7"/>
    </row>
    <row r="530">
      <c r="D530" s="9"/>
      <c r="F530" s="6"/>
      <c r="G530" s="7"/>
      <c r="H530" s="7"/>
    </row>
    <row r="531">
      <c r="D531" s="9"/>
      <c r="F531" s="6"/>
      <c r="G531" s="7"/>
      <c r="H531" s="7"/>
    </row>
    <row r="532">
      <c r="D532" s="9"/>
      <c r="F532" s="6"/>
      <c r="G532" s="7"/>
      <c r="H532" s="7"/>
    </row>
    <row r="533">
      <c r="D533" s="9"/>
      <c r="F533" s="6"/>
      <c r="G533" s="7"/>
      <c r="H533" s="7"/>
    </row>
    <row r="534">
      <c r="D534" s="9"/>
      <c r="F534" s="6"/>
      <c r="G534" s="7"/>
      <c r="H534" s="7"/>
    </row>
    <row r="535">
      <c r="D535" s="9"/>
      <c r="F535" s="6"/>
      <c r="G535" s="7"/>
      <c r="H535" s="7"/>
    </row>
    <row r="536">
      <c r="D536" s="9"/>
      <c r="F536" s="6"/>
      <c r="G536" s="7"/>
      <c r="H536" s="7"/>
    </row>
    <row r="537">
      <c r="D537" s="9"/>
      <c r="F537" s="6"/>
      <c r="G537" s="7"/>
      <c r="H537" s="7"/>
    </row>
    <row r="538">
      <c r="D538" s="9"/>
      <c r="F538" s="6"/>
      <c r="G538" s="7"/>
      <c r="H538" s="7"/>
    </row>
    <row r="539">
      <c r="D539" s="9"/>
      <c r="F539" s="6"/>
      <c r="G539" s="7"/>
      <c r="H539" s="7"/>
    </row>
    <row r="540">
      <c r="D540" s="9"/>
      <c r="F540" s="6"/>
      <c r="G540" s="7"/>
      <c r="H540" s="7"/>
    </row>
    <row r="541">
      <c r="D541" s="9"/>
      <c r="F541" s="6"/>
      <c r="G541" s="7"/>
      <c r="H541" s="7"/>
    </row>
    <row r="542">
      <c r="D542" s="9"/>
      <c r="F542" s="6"/>
      <c r="G542" s="7"/>
      <c r="H542" s="7"/>
    </row>
    <row r="543">
      <c r="D543" s="9"/>
      <c r="F543" s="6"/>
      <c r="G543" s="7"/>
      <c r="H543" s="7"/>
    </row>
    <row r="544">
      <c r="D544" s="9"/>
      <c r="F544" s="6"/>
      <c r="G544" s="7"/>
      <c r="H544" s="7"/>
    </row>
    <row r="545">
      <c r="D545" s="9"/>
      <c r="F545" s="6"/>
      <c r="G545" s="7"/>
      <c r="H545" s="7"/>
    </row>
    <row r="546">
      <c r="D546" s="9"/>
      <c r="F546" s="6"/>
      <c r="G546" s="7"/>
      <c r="H546" s="7"/>
    </row>
    <row r="547">
      <c r="D547" s="9"/>
      <c r="F547" s="6"/>
      <c r="G547" s="7"/>
      <c r="H547" s="7"/>
    </row>
    <row r="548">
      <c r="D548" s="9"/>
      <c r="F548" s="6"/>
      <c r="G548" s="7"/>
      <c r="H548" s="7"/>
    </row>
    <row r="549">
      <c r="D549" s="9"/>
      <c r="F549" s="6"/>
      <c r="G549" s="7"/>
      <c r="H549" s="7"/>
    </row>
    <row r="550">
      <c r="D550" s="9"/>
      <c r="F550" s="6"/>
      <c r="G550" s="7"/>
      <c r="H550" s="7"/>
    </row>
    <row r="551">
      <c r="D551" s="9"/>
      <c r="F551" s="6"/>
      <c r="G551" s="7"/>
      <c r="H551" s="7"/>
    </row>
    <row r="552">
      <c r="D552" s="9"/>
      <c r="F552" s="6"/>
      <c r="G552" s="7"/>
      <c r="H552" s="7"/>
    </row>
    <row r="553">
      <c r="D553" s="9"/>
      <c r="F553" s="6"/>
      <c r="G553" s="7"/>
      <c r="H553" s="7"/>
    </row>
    <row r="554">
      <c r="D554" s="9"/>
      <c r="F554" s="6"/>
      <c r="G554" s="7"/>
      <c r="H554" s="7"/>
    </row>
    <row r="555">
      <c r="D555" s="9"/>
      <c r="F555" s="6"/>
      <c r="G555" s="7"/>
      <c r="H555" s="7"/>
    </row>
    <row r="556">
      <c r="D556" s="9"/>
      <c r="F556" s="6"/>
      <c r="G556" s="7"/>
      <c r="H556" s="7"/>
    </row>
    <row r="557">
      <c r="D557" s="9"/>
      <c r="F557" s="6"/>
      <c r="G557" s="7"/>
      <c r="H557" s="7"/>
    </row>
    <row r="558">
      <c r="D558" s="9"/>
      <c r="F558" s="6"/>
      <c r="G558" s="7"/>
      <c r="H558" s="7"/>
    </row>
    <row r="559">
      <c r="D559" s="9"/>
      <c r="F559" s="6"/>
      <c r="G559" s="7"/>
      <c r="H559" s="7"/>
    </row>
    <row r="560">
      <c r="D560" s="9"/>
      <c r="F560" s="6"/>
      <c r="G560" s="7"/>
      <c r="H560" s="7"/>
    </row>
    <row r="561">
      <c r="D561" s="9"/>
      <c r="F561" s="6"/>
      <c r="G561" s="7"/>
      <c r="H561" s="7"/>
    </row>
    <row r="562">
      <c r="D562" s="9"/>
      <c r="F562" s="6"/>
      <c r="G562" s="7"/>
      <c r="H562" s="7"/>
    </row>
    <row r="563">
      <c r="D563" s="9"/>
      <c r="F563" s="6"/>
      <c r="G563" s="7"/>
      <c r="H563" s="7"/>
    </row>
    <row r="564">
      <c r="D564" s="9"/>
      <c r="F564" s="6"/>
      <c r="G564" s="7"/>
      <c r="H564" s="7"/>
    </row>
    <row r="565">
      <c r="D565" s="9"/>
      <c r="F565" s="6"/>
      <c r="G565" s="7"/>
      <c r="H565" s="7"/>
    </row>
    <row r="566">
      <c r="D566" s="9"/>
      <c r="F566" s="6"/>
      <c r="G566" s="7"/>
      <c r="H566" s="7"/>
    </row>
    <row r="567">
      <c r="D567" s="9"/>
      <c r="F567" s="6"/>
      <c r="G567" s="7"/>
      <c r="H567" s="7"/>
    </row>
    <row r="568">
      <c r="D568" s="9"/>
      <c r="F568" s="6"/>
      <c r="G568" s="7"/>
      <c r="H568" s="7"/>
    </row>
    <row r="569">
      <c r="D569" s="9"/>
      <c r="F569" s="6"/>
      <c r="G569" s="7"/>
      <c r="H569" s="7"/>
    </row>
    <row r="570">
      <c r="D570" s="9"/>
      <c r="F570" s="6"/>
      <c r="G570" s="7"/>
      <c r="H570" s="7"/>
    </row>
    <row r="571">
      <c r="D571" s="9"/>
      <c r="F571" s="6"/>
      <c r="G571" s="7"/>
      <c r="H571" s="7"/>
    </row>
    <row r="572">
      <c r="D572" s="9"/>
      <c r="F572" s="6"/>
      <c r="G572" s="7"/>
      <c r="H572" s="7"/>
    </row>
    <row r="573">
      <c r="D573" s="9"/>
      <c r="F573" s="6"/>
      <c r="G573" s="7"/>
      <c r="H573" s="7"/>
    </row>
    <row r="574">
      <c r="D574" s="9"/>
      <c r="F574" s="6"/>
      <c r="G574" s="7"/>
      <c r="H574" s="7"/>
    </row>
    <row r="575">
      <c r="D575" s="9"/>
      <c r="F575" s="6"/>
      <c r="G575" s="7"/>
      <c r="H575" s="7"/>
    </row>
    <row r="576">
      <c r="D576" s="9"/>
      <c r="F576" s="6"/>
      <c r="G576" s="7"/>
      <c r="H576" s="7"/>
    </row>
    <row r="577">
      <c r="D577" s="9"/>
      <c r="F577" s="6"/>
      <c r="G577" s="7"/>
      <c r="H577" s="7"/>
    </row>
    <row r="578">
      <c r="D578" s="9"/>
      <c r="F578" s="6"/>
      <c r="G578" s="7"/>
      <c r="H578" s="7"/>
    </row>
    <row r="579">
      <c r="D579" s="9"/>
      <c r="F579" s="6"/>
      <c r="G579" s="7"/>
      <c r="H579" s="7"/>
    </row>
    <row r="580">
      <c r="D580" s="9"/>
      <c r="F580" s="6"/>
      <c r="G580" s="7"/>
      <c r="H580" s="7"/>
    </row>
    <row r="581">
      <c r="D581" s="9"/>
      <c r="F581" s="6"/>
      <c r="G581" s="7"/>
      <c r="H581" s="7"/>
    </row>
    <row r="582">
      <c r="D582" s="9"/>
      <c r="F582" s="6"/>
      <c r="G582" s="7"/>
      <c r="H582" s="7"/>
    </row>
    <row r="583">
      <c r="D583" s="9"/>
      <c r="F583" s="6"/>
      <c r="G583" s="7"/>
      <c r="H583" s="7"/>
    </row>
    <row r="584">
      <c r="D584" s="9"/>
      <c r="F584" s="6"/>
      <c r="G584" s="7"/>
      <c r="H584" s="7"/>
    </row>
    <row r="585">
      <c r="D585" s="9"/>
      <c r="F585" s="6"/>
      <c r="G585" s="7"/>
      <c r="H585" s="7"/>
    </row>
    <row r="586">
      <c r="D586" s="9"/>
      <c r="F586" s="6"/>
      <c r="G586" s="7"/>
      <c r="H586" s="7"/>
    </row>
    <row r="587">
      <c r="D587" s="9"/>
      <c r="F587" s="6"/>
      <c r="G587" s="7"/>
      <c r="H587" s="7"/>
    </row>
    <row r="588">
      <c r="D588" s="9"/>
      <c r="F588" s="6"/>
      <c r="G588" s="7"/>
      <c r="H588" s="7"/>
    </row>
    <row r="589">
      <c r="D589" s="9"/>
      <c r="F589" s="6"/>
      <c r="G589" s="7"/>
      <c r="H589" s="7"/>
    </row>
    <row r="590">
      <c r="D590" s="9"/>
      <c r="F590" s="6"/>
      <c r="G590" s="7"/>
      <c r="H590" s="7"/>
    </row>
    <row r="591">
      <c r="D591" s="9"/>
      <c r="F591" s="6"/>
      <c r="G591" s="7"/>
      <c r="H591" s="7"/>
    </row>
    <row r="592">
      <c r="D592" s="9"/>
      <c r="F592" s="6"/>
      <c r="G592" s="7"/>
      <c r="H592" s="7"/>
    </row>
    <row r="593">
      <c r="D593" s="9"/>
      <c r="F593" s="6"/>
      <c r="G593" s="7"/>
      <c r="H593" s="7"/>
    </row>
    <row r="594">
      <c r="D594" s="9"/>
      <c r="F594" s="6"/>
      <c r="G594" s="7"/>
      <c r="H594" s="7"/>
    </row>
    <row r="595">
      <c r="D595" s="9"/>
      <c r="F595" s="6"/>
      <c r="G595" s="7"/>
      <c r="H595" s="7"/>
    </row>
    <row r="596">
      <c r="D596" s="9"/>
      <c r="F596" s="6"/>
      <c r="G596" s="7"/>
      <c r="H596" s="7"/>
    </row>
    <row r="597">
      <c r="D597" s="9"/>
      <c r="F597" s="6"/>
      <c r="G597" s="7"/>
      <c r="H597" s="7"/>
    </row>
    <row r="598">
      <c r="D598" s="9"/>
      <c r="F598" s="6"/>
      <c r="G598" s="7"/>
      <c r="H598" s="7"/>
    </row>
    <row r="599">
      <c r="D599" s="9"/>
      <c r="F599" s="6"/>
      <c r="G599" s="7"/>
      <c r="H599" s="7"/>
    </row>
    <row r="600">
      <c r="D600" s="9"/>
      <c r="F600" s="6"/>
      <c r="G600" s="7"/>
      <c r="H600" s="7"/>
    </row>
    <row r="601">
      <c r="D601" s="9"/>
      <c r="F601" s="6"/>
      <c r="G601" s="7"/>
      <c r="H601" s="7"/>
    </row>
    <row r="602">
      <c r="D602" s="9"/>
      <c r="F602" s="6"/>
      <c r="G602" s="7"/>
      <c r="H602" s="7"/>
    </row>
    <row r="603">
      <c r="D603" s="9"/>
      <c r="F603" s="6"/>
      <c r="G603" s="7"/>
      <c r="H603" s="7"/>
    </row>
    <row r="604">
      <c r="D604" s="9"/>
      <c r="F604" s="6"/>
      <c r="G604" s="7"/>
      <c r="H604" s="7"/>
    </row>
    <row r="605">
      <c r="D605" s="9"/>
      <c r="F605" s="6"/>
      <c r="G605" s="7"/>
      <c r="H605" s="7"/>
    </row>
    <row r="606">
      <c r="D606" s="9"/>
      <c r="F606" s="6"/>
      <c r="G606" s="7"/>
      <c r="H606" s="7"/>
    </row>
    <row r="607">
      <c r="D607" s="9"/>
      <c r="F607" s="6"/>
      <c r="G607" s="7"/>
      <c r="H607" s="7"/>
    </row>
    <row r="608">
      <c r="D608" s="9"/>
      <c r="F608" s="6"/>
      <c r="G608" s="7"/>
      <c r="H608" s="7"/>
    </row>
    <row r="609">
      <c r="D609" s="9"/>
      <c r="F609" s="6"/>
      <c r="G609" s="7"/>
      <c r="H609" s="7"/>
    </row>
    <row r="610">
      <c r="D610" s="9"/>
      <c r="F610" s="6"/>
      <c r="G610" s="7"/>
      <c r="H610" s="7"/>
    </row>
    <row r="611">
      <c r="D611" s="9"/>
      <c r="F611" s="6"/>
      <c r="G611" s="7"/>
      <c r="H611" s="7"/>
    </row>
    <row r="612">
      <c r="D612" s="9"/>
      <c r="F612" s="6"/>
      <c r="G612" s="7"/>
      <c r="H612" s="7"/>
    </row>
    <row r="613">
      <c r="D613" s="9"/>
      <c r="F613" s="6"/>
      <c r="G613" s="7"/>
      <c r="H613" s="7"/>
    </row>
    <row r="614">
      <c r="D614" s="9"/>
      <c r="F614" s="6"/>
      <c r="G614" s="7"/>
      <c r="H614" s="7"/>
    </row>
    <row r="615">
      <c r="D615" s="9"/>
      <c r="F615" s="6"/>
      <c r="G615" s="7"/>
      <c r="H615" s="7"/>
    </row>
    <row r="616">
      <c r="D616" s="9"/>
      <c r="F616" s="6"/>
      <c r="G616" s="7"/>
      <c r="H616" s="7"/>
    </row>
    <row r="617">
      <c r="D617" s="9"/>
      <c r="F617" s="6"/>
      <c r="G617" s="7"/>
      <c r="H617" s="7"/>
    </row>
    <row r="618">
      <c r="D618" s="9"/>
      <c r="F618" s="6"/>
      <c r="G618" s="7"/>
      <c r="H618" s="7"/>
    </row>
    <row r="619">
      <c r="D619" s="9"/>
      <c r="F619" s="6"/>
      <c r="G619" s="7"/>
      <c r="H619" s="7"/>
    </row>
    <row r="620">
      <c r="D620" s="9"/>
      <c r="F620" s="6"/>
      <c r="G620" s="7"/>
      <c r="H620" s="7"/>
    </row>
    <row r="621">
      <c r="D621" s="9"/>
      <c r="F621" s="6"/>
      <c r="G621" s="7"/>
      <c r="H621" s="7"/>
    </row>
    <row r="622">
      <c r="D622" s="9"/>
      <c r="F622" s="6"/>
      <c r="G622" s="7"/>
      <c r="H622" s="7"/>
    </row>
    <row r="623">
      <c r="D623" s="9"/>
      <c r="F623" s="6"/>
      <c r="G623" s="7"/>
      <c r="H623" s="7"/>
    </row>
    <row r="624">
      <c r="D624" s="9"/>
      <c r="F624" s="6"/>
      <c r="G624" s="7"/>
      <c r="H624" s="7"/>
    </row>
    <row r="625">
      <c r="D625" s="9"/>
      <c r="F625" s="6"/>
      <c r="G625" s="7"/>
      <c r="H625" s="7"/>
    </row>
    <row r="626">
      <c r="D626" s="9"/>
      <c r="F626" s="6"/>
      <c r="G626" s="7"/>
      <c r="H626" s="7"/>
    </row>
    <row r="627">
      <c r="D627" s="9"/>
      <c r="F627" s="6"/>
      <c r="G627" s="7"/>
      <c r="H627" s="7"/>
    </row>
    <row r="628">
      <c r="D628" s="9"/>
      <c r="F628" s="6"/>
      <c r="G628" s="7"/>
      <c r="H628" s="7"/>
    </row>
    <row r="629">
      <c r="D629" s="9"/>
      <c r="F629" s="6"/>
      <c r="G629" s="7"/>
      <c r="H629" s="7"/>
    </row>
    <row r="630">
      <c r="D630" s="9"/>
      <c r="F630" s="6"/>
      <c r="G630" s="7"/>
      <c r="H630" s="7"/>
    </row>
    <row r="631">
      <c r="D631" s="9"/>
      <c r="F631" s="6"/>
      <c r="G631" s="7"/>
      <c r="H631" s="7"/>
    </row>
    <row r="632">
      <c r="D632" s="9"/>
      <c r="F632" s="6"/>
      <c r="G632" s="7"/>
      <c r="H632" s="7"/>
    </row>
    <row r="633">
      <c r="D633" s="9"/>
      <c r="F633" s="6"/>
      <c r="G633" s="7"/>
      <c r="H633" s="7"/>
    </row>
    <row r="634">
      <c r="D634" s="9"/>
      <c r="F634" s="6"/>
      <c r="G634" s="7"/>
      <c r="H634" s="7"/>
    </row>
    <row r="635">
      <c r="D635" s="9"/>
      <c r="F635" s="6"/>
      <c r="G635" s="7"/>
      <c r="H635" s="7"/>
    </row>
    <row r="636">
      <c r="D636" s="9"/>
      <c r="F636" s="6"/>
      <c r="G636" s="7"/>
      <c r="H636" s="7"/>
    </row>
    <row r="637">
      <c r="D637" s="9"/>
      <c r="F637" s="6"/>
      <c r="G637" s="7"/>
      <c r="H637" s="7"/>
    </row>
    <row r="638">
      <c r="D638" s="9"/>
      <c r="F638" s="6"/>
      <c r="G638" s="7"/>
      <c r="H638" s="7"/>
    </row>
    <row r="639">
      <c r="D639" s="9"/>
      <c r="F639" s="6"/>
      <c r="G639" s="7"/>
      <c r="H639" s="7"/>
    </row>
    <row r="640">
      <c r="D640" s="9"/>
      <c r="F640" s="6"/>
      <c r="G640" s="7"/>
      <c r="H640" s="7"/>
    </row>
    <row r="641">
      <c r="D641" s="9"/>
      <c r="F641" s="6"/>
      <c r="G641" s="7"/>
      <c r="H641" s="7"/>
    </row>
    <row r="642">
      <c r="D642" s="9"/>
      <c r="F642" s="6"/>
      <c r="G642" s="7"/>
      <c r="H642" s="7"/>
    </row>
    <row r="643">
      <c r="D643" s="9"/>
      <c r="F643" s="6"/>
      <c r="G643" s="7"/>
      <c r="H643" s="7"/>
    </row>
    <row r="644">
      <c r="D644" s="9"/>
      <c r="F644" s="6"/>
      <c r="G644" s="7"/>
      <c r="H644" s="7"/>
    </row>
    <row r="645">
      <c r="D645" s="9"/>
      <c r="F645" s="6"/>
      <c r="G645" s="7"/>
      <c r="H645" s="7"/>
    </row>
    <row r="646">
      <c r="D646" s="9"/>
      <c r="F646" s="6"/>
      <c r="G646" s="7"/>
      <c r="H646" s="7"/>
    </row>
    <row r="647">
      <c r="D647" s="9"/>
      <c r="F647" s="6"/>
      <c r="G647" s="7"/>
      <c r="H647" s="7"/>
    </row>
    <row r="648">
      <c r="D648" s="9"/>
      <c r="F648" s="6"/>
      <c r="G648" s="7"/>
      <c r="H648" s="7"/>
    </row>
    <row r="649">
      <c r="D649" s="9"/>
      <c r="F649" s="6"/>
      <c r="G649" s="7"/>
      <c r="H649" s="7"/>
    </row>
    <row r="650">
      <c r="D650" s="9"/>
      <c r="F650" s="6"/>
      <c r="G650" s="7"/>
      <c r="H650" s="7"/>
    </row>
    <row r="651">
      <c r="D651" s="9"/>
      <c r="F651" s="6"/>
      <c r="G651" s="7"/>
      <c r="H651" s="7"/>
    </row>
    <row r="652">
      <c r="D652" s="9"/>
      <c r="F652" s="6"/>
      <c r="G652" s="7"/>
      <c r="H652" s="7"/>
    </row>
    <row r="653">
      <c r="D653" s="9"/>
      <c r="F653" s="6"/>
      <c r="G653" s="7"/>
      <c r="H653" s="7"/>
    </row>
    <row r="654">
      <c r="D654" s="9"/>
      <c r="F654" s="6"/>
      <c r="G654" s="7"/>
      <c r="H654" s="7"/>
    </row>
    <row r="655">
      <c r="D655" s="9"/>
      <c r="F655" s="6"/>
      <c r="G655" s="7"/>
      <c r="H655" s="7"/>
    </row>
    <row r="656">
      <c r="D656" s="9"/>
      <c r="F656" s="6"/>
      <c r="G656" s="7"/>
      <c r="H656" s="7"/>
    </row>
    <row r="657">
      <c r="D657" s="9"/>
      <c r="F657" s="6"/>
      <c r="G657" s="7"/>
      <c r="H657" s="7"/>
    </row>
    <row r="658">
      <c r="D658" s="9"/>
      <c r="F658" s="6"/>
      <c r="G658" s="7"/>
      <c r="H658" s="7"/>
    </row>
    <row r="659">
      <c r="D659" s="9"/>
      <c r="F659" s="6"/>
      <c r="G659" s="7"/>
      <c r="H659" s="7"/>
    </row>
    <row r="660">
      <c r="D660" s="9"/>
      <c r="F660" s="6"/>
      <c r="G660" s="7"/>
      <c r="H660" s="7"/>
    </row>
    <row r="661">
      <c r="D661" s="9"/>
      <c r="F661" s="6"/>
      <c r="G661" s="7"/>
      <c r="H661" s="7"/>
    </row>
    <row r="662">
      <c r="D662" s="9"/>
      <c r="F662" s="6"/>
      <c r="G662" s="7"/>
      <c r="H662" s="7"/>
    </row>
    <row r="663">
      <c r="D663" s="9"/>
      <c r="F663" s="6"/>
      <c r="G663" s="7"/>
      <c r="H663" s="7"/>
    </row>
    <row r="664">
      <c r="D664" s="9"/>
      <c r="F664" s="6"/>
      <c r="G664" s="7"/>
      <c r="H664" s="7"/>
    </row>
    <row r="665">
      <c r="D665" s="9"/>
      <c r="F665" s="6"/>
      <c r="G665" s="7"/>
      <c r="H665" s="7"/>
    </row>
    <row r="666">
      <c r="D666" s="9"/>
      <c r="F666" s="6"/>
      <c r="G666" s="7"/>
      <c r="H666" s="7"/>
    </row>
    <row r="667">
      <c r="D667" s="9"/>
      <c r="F667" s="6"/>
      <c r="G667" s="7"/>
      <c r="H667" s="7"/>
    </row>
    <row r="668">
      <c r="D668" s="9"/>
      <c r="F668" s="6"/>
      <c r="G668" s="7"/>
      <c r="H668" s="7"/>
    </row>
    <row r="669">
      <c r="D669" s="9"/>
      <c r="F669" s="6"/>
      <c r="G669" s="7"/>
      <c r="H669" s="7"/>
    </row>
    <row r="670">
      <c r="D670" s="9"/>
      <c r="F670" s="6"/>
      <c r="G670" s="7"/>
      <c r="H670" s="7"/>
    </row>
    <row r="671">
      <c r="D671" s="9"/>
      <c r="F671" s="6"/>
      <c r="G671" s="7"/>
      <c r="H671" s="7"/>
    </row>
    <row r="672">
      <c r="D672" s="9"/>
      <c r="F672" s="6"/>
      <c r="G672" s="7"/>
      <c r="H672" s="7"/>
    </row>
    <row r="673">
      <c r="D673" s="9"/>
      <c r="F673" s="6"/>
      <c r="G673" s="7"/>
      <c r="H673" s="7"/>
    </row>
    <row r="674">
      <c r="D674" s="9"/>
      <c r="F674" s="6"/>
      <c r="G674" s="7"/>
      <c r="H674" s="7"/>
    </row>
    <row r="675">
      <c r="D675" s="9"/>
      <c r="F675" s="6"/>
      <c r="G675" s="7"/>
      <c r="H675" s="7"/>
    </row>
    <row r="676">
      <c r="D676" s="9"/>
      <c r="F676" s="6"/>
      <c r="G676" s="7"/>
      <c r="H676" s="7"/>
    </row>
    <row r="677">
      <c r="D677" s="9"/>
      <c r="F677" s="6"/>
      <c r="G677" s="7"/>
      <c r="H677" s="7"/>
    </row>
    <row r="678">
      <c r="D678" s="9"/>
      <c r="F678" s="6"/>
      <c r="G678" s="7"/>
      <c r="H678" s="7"/>
    </row>
    <row r="679">
      <c r="D679" s="9"/>
      <c r="F679" s="6"/>
      <c r="G679" s="7"/>
      <c r="H679" s="7"/>
    </row>
    <row r="680">
      <c r="D680" s="9"/>
      <c r="F680" s="6"/>
      <c r="G680" s="7"/>
      <c r="H680" s="7"/>
    </row>
    <row r="681">
      <c r="D681" s="9"/>
      <c r="F681" s="6"/>
      <c r="G681" s="7"/>
      <c r="H681" s="7"/>
    </row>
    <row r="682">
      <c r="D682" s="9"/>
      <c r="F682" s="6"/>
      <c r="G682" s="7"/>
      <c r="H682" s="7"/>
    </row>
    <row r="683">
      <c r="D683" s="9"/>
      <c r="F683" s="6"/>
      <c r="G683" s="7"/>
      <c r="H683" s="7"/>
    </row>
    <row r="684">
      <c r="D684" s="9"/>
      <c r="F684" s="6"/>
      <c r="G684" s="7"/>
      <c r="H684" s="7"/>
    </row>
    <row r="685">
      <c r="D685" s="9"/>
      <c r="F685" s="6"/>
      <c r="G685" s="7"/>
      <c r="H685" s="7"/>
    </row>
    <row r="686">
      <c r="D686" s="9"/>
      <c r="F686" s="6"/>
      <c r="G686" s="7"/>
      <c r="H686" s="7"/>
    </row>
    <row r="687">
      <c r="D687" s="9"/>
      <c r="F687" s="6"/>
      <c r="G687" s="7"/>
      <c r="H687" s="7"/>
    </row>
    <row r="688">
      <c r="D688" s="9"/>
      <c r="F688" s="6"/>
      <c r="G688" s="7"/>
      <c r="H688" s="7"/>
    </row>
    <row r="689">
      <c r="D689" s="9"/>
      <c r="F689" s="6"/>
      <c r="G689" s="7"/>
      <c r="H689" s="7"/>
    </row>
    <row r="690">
      <c r="D690" s="9"/>
      <c r="F690" s="6"/>
      <c r="G690" s="7"/>
      <c r="H690" s="7"/>
    </row>
    <row r="691">
      <c r="D691" s="9"/>
      <c r="F691" s="6"/>
      <c r="G691" s="7"/>
      <c r="H691" s="7"/>
    </row>
    <row r="692">
      <c r="D692" s="9"/>
      <c r="F692" s="6"/>
      <c r="G692" s="7"/>
      <c r="H692" s="7"/>
    </row>
    <row r="693">
      <c r="D693" s="9"/>
      <c r="F693" s="6"/>
      <c r="G693" s="7"/>
      <c r="H693" s="7"/>
    </row>
    <row r="694">
      <c r="D694" s="9"/>
      <c r="F694" s="6"/>
      <c r="G694" s="7"/>
      <c r="H694" s="7"/>
    </row>
    <row r="695">
      <c r="D695" s="9"/>
      <c r="F695" s="6"/>
      <c r="G695" s="7"/>
      <c r="H695" s="7"/>
    </row>
    <row r="696">
      <c r="D696" s="9"/>
      <c r="F696" s="6"/>
      <c r="G696" s="7"/>
      <c r="H696" s="7"/>
    </row>
    <row r="697">
      <c r="D697" s="9"/>
      <c r="F697" s="6"/>
      <c r="G697" s="7"/>
      <c r="H697" s="7"/>
    </row>
    <row r="698">
      <c r="D698" s="9"/>
      <c r="F698" s="6"/>
      <c r="G698" s="7"/>
      <c r="H698" s="7"/>
    </row>
    <row r="699">
      <c r="D699" s="9"/>
      <c r="F699" s="6"/>
      <c r="G699" s="7"/>
      <c r="H699" s="7"/>
    </row>
    <row r="700">
      <c r="D700" s="9"/>
      <c r="F700" s="6"/>
      <c r="G700" s="7"/>
      <c r="H700" s="7"/>
    </row>
    <row r="701">
      <c r="D701" s="9"/>
      <c r="F701" s="6"/>
      <c r="G701" s="7"/>
      <c r="H701" s="7"/>
    </row>
    <row r="702">
      <c r="D702" s="9"/>
      <c r="F702" s="6"/>
      <c r="G702" s="7"/>
      <c r="H702" s="7"/>
    </row>
    <row r="703">
      <c r="D703" s="9"/>
      <c r="F703" s="6"/>
      <c r="G703" s="7"/>
      <c r="H703" s="7"/>
    </row>
    <row r="704">
      <c r="D704" s="9"/>
      <c r="F704" s="6"/>
      <c r="G704" s="7"/>
      <c r="H704" s="7"/>
    </row>
    <row r="705">
      <c r="D705" s="9"/>
      <c r="F705" s="6"/>
      <c r="G705" s="7"/>
      <c r="H705" s="7"/>
    </row>
    <row r="706">
      <c r="D706" s="9"/>
      <c r="F706" s="6"/>
      <c r="G706" s="7"/>
      <c r="H706" s="7"/>
    </row>
    <row r="707">
      <c r="D707" s="9"/>
      <c r="F707" s="6"/>
      <c r="G707" s="7"/>
      <c r="H707" s="7"/>
    </row>
    <row r="708">
      <c r="D708" s="9"/>
      <c r="F708" s="6"/>
      <c r="G708" s="7"/>
      <c r="H708" s="7"/>
    </row>
    <row r="709">
      <c r="D709" s="9"/>
      <c r="F709" s="6"/>
      <c r="G709" s="7"/>
      <c r="H709" s="7"/>
    </row>
    <row r="710">
      <c r="D710" s="9"/>
      <c r="F710" s="6"/>
      <c r="G710" s="7"/>
      <c r="H710" s="7"/>
    </row>
    <row r="711">
      <c r="D711" s="9"/>
      <c r="F711" s="6"/>
      <c r="G711" s="7"/>
      <c r="H711" s="7"/>
    </row>
    <row r="712">
      <c r="D712" s="9"/>
      <c r="F712" s="6"/>
      <c r="G712" s="7"/>
      <c r="H712" s="7"/>
    </row>
    <row r="713">
      <c r="D713" s="9"/>
      <c r="F713" s="6"/>
      <c r="G713" s="7"/>
      <c r="H713" s="7"/>
    </row>
    <row r="714">
      <c r="D714" s="9"/>
      <c r="F714" s="6"/>
      <c r="G714" s="7"/>
      <c r="H714" s="7"/>
    </row>
    <row r="715">
      <c r="D715" s="9"/>
      <c r="F715" s="6"/>
      <c r="G715" s="7"/>
      <c r="H715" s="7"/>
    </row>
    <row r="716">
      <c r="D716" s="9"/>
      <c r="F716" s="6"/>
      <c r="G716" s="7"/>
      <c r="H716" s="7"/>
    </row>
    <row r="717">
      <c r="D717" s="9"/>
      <c r="F717" s="6"/>
      <c r="G717" s="7"/>
      <c r="H717" s="7"/>
    </row>
    <row r="718">
      <c r="D718" s="9"/>
      <c r="F718" s="6"/>
      <c r="G718" s="7"/>
      <c r="H718" s="7"/>
    </row>
    <row r="719">
      <c r="D719" s="9"/>
      <c r="F719" s="6"/>
      <c r="G719" s="7"/>
      <c r="H719" s="7"/>
    </row>
    <row r="720">
      <c r="D720" s="9"/>
      <c r="F720" s="6"/>
      <c r="G720" s="7"/>
      <c r="H720" s="7"/>
    </row>
    <row r="721">
      <c r="D721" s="9"/>
      <c r="F721" s="6"/>
      <c r="G721" s="7"/>
      <c r="H721" s="7"/>
    </row>
    <row r="722">
      <c r="D722" s="9"/>
      <c r="F722" s="6"/>
      <c r="G722" s="7"/>
      <c r="H722" s="7"/>
    </row>
    <row r="723">
      <c r="D723" s="9"/>
      <c r="F723" s="6"/>
      <c r="G723" s="7"/>
      <c r="H723" s="7"/>
    </row>
    <row r="724">
      <c r="D724" s="9"/>
      <c r="F724" s="6"/>
      <c r="G724" s="7"/>
      <c r="H724" s="7"/>
    </row>
    <row r="725">
      <c r="D725" s="9"/>
      <c r="F725" s="6"/>
      <c r="G725" s="7"/>
      <c r="H725" s="7"/>
    </row>
    <row r="726">
      <c r="D726" s="9"/>
      <c r="F726" s="6"/>
      <c r="G726" s="7"/>
      <c r="H726" s="7"/>
    </row>
    <row r="727">
      <c r="D727" s="9"/>
      <c r="F727" s="6"/>
      <c r="G727" s="7"/>
      <c r="H727" s="7"/>
    </row>
    <row r="728">
      <c r="D728" s="9"/>
      <c r="F728" s="6"/>
      <c r="G728" s="7"/>
      <c r="H728" s="7"/>
    </row>
    <row r="729">
      <c r="D729" s="9"/>
      <c r="F729" s="6"/>
      <c r="G729" s="7"/>
      <c r="H729" s="7"/>
    </row>
    <row r="730">
      <c r="D730" s="9"/>
      <c r="F730" s="6"/>
      <c r="G730" s="7"/>
      <c r="H730" s="7"/>
    </row>
    <row r="731">
      <c r="D731" s="9"/>
      <c r="F731" s="6"/>
      <c r="G731" s="7"/>
      <c r="H731" s="7"/>
    </row>
    <row r="732">
      <c r="D732" s="9"/>
      <c r="F732" s="6"/>
      <c r="G732" s="7"/>
      <c r="H732" s="7"/>
    </row>
    <row r="733">
      <c r="D733" s="9"/>
      <c r="F733" s="6"/>
      <c r="G733" s="7"/>
      <c r="H733" s="7"/>
    </row>
    <row r="734">
      <c r="D734" s="9"/>
      <c r="F734" s="6"/>
      <c r="G734" s="7"/>
      <c r="H734" s="7"/>
    </row>
    <row r="735">
      <c r="D735" s="9"/>
      <c r="F735" s="6"/>
      <c r="G735" s="7"/>
      <c r="H735" s="7"/>
    </row>
    <row r="736">
      <c r="D736" s="9"/>
      <c r="F736" s="6"/>
      <c r="G736" s="7"/>
      <c r="H736" s="7"/>
    </row>
    <row r="737">
      <c r="D737" s="9"/>
      <c r="F737" s="6"/>
      <c r="G737" s="7"/>
      <c r="H737" s="7"/>
    </row>
    <row r="738">
      <c r="D738" s="9"/>
      <c r="F738" s="6"/>
      <c r="G738" s="7"/>
      <c r="H738" s="7"/>
    </row>
    <row r="739">
      <c r="D739" s="9"/>
      <c r="F739" s="6"/>
      <c r="G739" s="7"/>
      <c r="H739" s="7"/>
    </row>
    <row r="740">
      <c r="D740" s="9"/>
      <c r="F740" s="6"/>
      <c r="G740" s="7"/>
      <c r="H740" s="7"/>
    </row>
    <row r="741">
      <c r="D741" s="9"/>
      <c r="F741" s="6"/>
      <c r="G741" s="7"/>
      <c r="H741" s="7"/>
    </row>
    <row r="742">
      <c r="D742" s="9"/>
      <c r="F742" s="6"/>
      <c r="G742" s="7"/>
      <c r="H742" s="7"/>
    </row>
    <row r="743">
      <c r="D743" s="9"/>
      <c r="F743" s="6"/>
      <c r="G743" s="7"/>
      <c r="H743" s="7"/>
    </row>
    <row r="744">
      <c r="D744" s="9"/>
      <c r="F744" s="6"/>
      <c r="G744" s="7"/>
      <c r="H744" s="7"/>
    </row>
    <row r="745">
      <c r="D745" s="9"/>
      <c r="F745" s="6"/>
      <c r="G745" s="7"/>
      <c r="H745" s="7"/>
    </row>
    <row r="746">
      <c r="D746" s="9"/>
      <c r="F746" s="6"/>
      <c r="G746" s="7"/>
      <c r="H746" s="7"/>
    </row>
    <row r="747">
      <c r="D747" s="9"/>
      <c r="F747" s="6"/>
      <c r="G747" s="7"/>
      <c r="H747" s="7"/>
    </row>
    <row r="748">
      <c r="D748" s="9"/>
      <c r="F748" s="6"/>
      <c r="G748" s="7"/>
      <c r="H748" s="7"/>
    </row>
    <row r="749">
      <c r="D749" s="9"/>
      <c r="F749" s="6"/>
      <c r="G749" s="7"/>
      <c r="H749" s="7"/>
    </row>
    <row r="750">
      <c r="D750" s="9"/>
      <c r="F750" s="6"/>
      <c r="G750" s="7"/>
      <c r="H750" s="7"/>
    </row>
    <row r="751">
      <c r="D751" s="9"/>
      <c r="F751" s="6"/>
      <c r="G751" s="7"/>
      <c r="H751" s="7"/>
    </row>
    <row r="752">
      <c r="D752" s="9"/>
      <c r="F752" s="6"/>
      <c r="G752" s="7"/>
      <c r="H752" s="7"/>
    </row>
    <row r="753">
      <c r="D753" s="9"/>
      <c r="F753" s="6"/>
      <c r="G753" s="7"/>
      <c r="H753" s="7"/>
    </row>
    <row r="754">
      <c r="D754" s="9"/>
      <c r="F754" s="6"/>
      <c r="G754" s="7"/>
      <c r="H754" s="7"/>
    </row>
    <row r="755">
      <c r="D755" s="9"/>
      <c r="F755" s="6"/>
      <c r="G755" s="7"/>
      <c r="H755" s="7"/>
    </row>
    <row r="756">
      <c r="D756" s="9"/>
      <c r="F756" s="6"/>
      <c r="G756" s="7"/>
      <c r="H756" s="7"/>
    </row>
    <row r="757">
      <c r="D757" s="9"/>
      <c r="F757" s="6"/>
      <c r="G757" s="7"/>
      <c r="H757" s="7"/>
    </row>
    <row r="758">
      <c r="D758" s="9"/>
      <c r="F758" s="6"/>
      <c r="G758" s="7"/>
      <c r="H758" s="7"/>
    </row>
    <row r="759">
      <c r="D759" s="9"/>
      <c r="F759" s="6"/>
      <c r="G759" s="7"/>
      <c r="H759" s="7"/>
    </row>
    <row r="760">
      <c r="D760" s="9"/>
      <c r="F760" s="6"/>
      <c r="G760" s="7"/>
      <c r="H760" s="7"/>
    </row>
    <row r="761">
      <c r="D761" s="9"/>
      <c r="F761" s="6"/>
      <c r="G761" s="7"/>
      <c r="H761" s="7"/>
    </row>
    <row r="762">
      <c r="D762" s="9"/>
      <c r="F762" s="6"/>
      <c r="G762" s="7"/>
      <c r="H762" s="7"/>
    </row>
    <row r="763">
      <c r="D763" s="9"/>
      <c r="F763" s="6"/>
      <c r="G763" s="7"/>
      <c r="H763" s="7"/>
    </row>
    <row r="764">
      <c r="D764" s="9"/>
      <c r="F764" s="6"/>
      <c r="G764" s="7"/>
      <c r="H764" s="7"/>
    </row>
    <row r="765">
      <c r="D765" s="9"/>
      <c r="F765" s="6"/>
      <c r="G765" s="7"/>
      <c r="H765" s="7"/>
    </row>
    <row r="766">
      <c r="D766" s="9"/>
      <c r="F766" s="6"/>
      <c r="G766" s="7"/>
      <c r="H766" s="7"/>
    </row>
    <row r="767">
      <c r="D767" s="9"/>
      <c r="F767" s="6"/>
      <c r="G767" s="7"/>
      <c r="H767" s="7"/>
    </row>
    <row r="768">
      <c r="D768" s="9"/>
      <c r="F768" s="6"/>
      <c r="G768" s="7"/>
      <c r="H768" s="7"/>
    </row>
    <row r="769">
      <c r="D769" s="9"/>
      <c r="F769" s="6"/>
      <c r="G769" s="7"/>
      <c r="H769" s="7"/>
    </row>
    <row r="770">
      <c r="D770" s="9"/>
      <c r="F770" s="6"/>
      <c r="G770" s="7"/>
      <c r="H770" s="7"/>
    </row>
    <row r="771">
      <c r="D771" s="9"/>
      <c r="F771" s="6"/>
      <c r="G771" s="7"/>
      <c r="H771" s="7"/>
    </row>
    <row r="772">
      <c r="D772" s="9"/>
      <c r="F772" s="6"/>
      <c r="G772" s="7"/>
      <c r="H772" s="7"/>
    </row>
    <row r="773">
      <c r="D773" s="9"/>
      <c r="F773" s="6"/>
      <c r="G773" s="7"/>
      <c r="H773" s="7"/>
    </row>
    <row r="774">
      <c r="D774" s="9"/>
      <c r="F774" s="6"/>
      <c r="G774" s="7"/>
      <c r="H774" s="7"/>
    </row>
    <row r="775">
      <c r="D775" s="9"/>
      <c r="F775" s="6"/>
      <c r="G775" s="7"/>
      <c r="H775" s="7"/>
    </row>
    <row r="776">
      <c r="D776" s="9"/>
      <c r="F776" s="6"/>
      <c r="G776" s="7"/>
      <c r="H776" s="7"/>
    </row>
    <row r="777">
      <c r="D777" s="9"/>
      <c r="F777" s="6"/>
      <c r="G777" s="7"/>
      <c r="H777" s="7"/>
    </row>
    <row r="778">
      <c r="D778" s="9"/>
      <c r="F778" s="6"/>
      <c r="G778" s="7"/>
      <c r="H778" s="7"/>
    </row>
    <row r="779">
      <c r="D779" s="9"/>
      <c r="F779" s="6"/>
      <c r="G779" s="7"/>
      <c r="H779" s="7"/>
    </row>
    <row r="780">
      <c r="D780" s="9"/>
      <c r="F780" s="6"/>
      <c r="G780" s="7"/>
      <c r="H780" s="7"/>
    </row>
    <row r="781">
      <c r="D781" s="9"/>
      <c r="F781" s="6"/>
      <c r="G781" s="7"/>
      <c r="H781" s="7"/>
    </row>
    <row r="782">
      <c r="D782" s="9"/>
      <c r="F782" s="6"/>
      <c r="G782" s="7"/>
      <c r="H782" s="7"/>
    </row>
    <row r="783">
      <c r="D783" s="9"/>
      <c r="F783" s="6"/>
      <c r="G783" s="7"/>
      <c r="H783" s="7"/>
    </row>
    <row r="784">
      <c r="D784" s="9"/>
      <c r="F784" s="6"/>
      <c r="G784" s="7"/>
      <c r="H784" s="7"/>
    </row>
    <row r="785">
      <c r="D785" s="9"/>
      <c r="F785" s="6"/>
      <c r="G785" s="7"/>
      <c r="H785" s="7"/>
    </row>
    <row r="786">
      <c r="D786" s="9"/>
      <c r="F786" s="6"/>
      <c r="G786" s="7"/>
      <c r="H786" s="7"/>
    </row>
    <row r="787">
      <c r="D787" s="9"/>
      <c r="F787" s="6"/>
      <c r="G787" s="7"/>
      <c r="H787" s="7"/>
    </row>
    <row r="788">
      <c r="D788" s="9"/>
      <c r="F788" s="6"/>
      <c r="G788" s="7"/>
      <c r="H788" s="7"/>
    </row>
    <row r="789">
      <c r="D789" s="9"/>
      <c r="F789" s="6"/>
      <c r="G789" s="7"/>
      <c r="H789" s="7"/>
    </row>
    <row r="790">
      <c r="D790" s="9"/>
      <c r="F790" s="6"/>
      <c r="G790" s="7"/>
      <c r="H790" s="7"/>
    </row>
    <row r="791">
      <c r="D791" s="9"/>
      <c r="F791" s="6"/>
      <c r="G791" s="7"/>
      <c r="H791" s="7"/>
    </row>
    <row r="792">
      <c r="D792" s="9"/>
      <c r="F792" s="6"/>
      <c r="G792" s="7"/>
      <c r="H792" s="7"/>
    </row>
    <row r="793">
      <c r="D793" s="9"/>
      <c r="F793" s="6"/>
      <c r="G793" s="7"/>
      <c r="H793" s="7"/>
    </row>
    <row r="794">
      <c r="D794" s="9"/>
      <c r="F794" s="6"/>
      <c r="G794" s="7"/>
      <c r="H794" s="7"/>
    </row>
    <row r="795">
      <c r="D795" s="9"/>
      <c r="F795" s="6"/>
      <c r="G795" s="7"/>
      <c r="H795" s="7"/>
    </row>
    <row r="796">
      <c r="D796" s="9"/>
      <c r="F796" s="6"/>
      <c r="G796" s="7"/>
      <c r="H796" s="7"/>
    </row>
    <row r="797">
      <c r="D797" s="9"/>
      <c r="F797" s="6"/>
      <c r="G797" s="7"/>
      <c r="H797" s="7"/>
    </row>
    <row r="798">
      <c r="D798" s="9"/>
      <c r="F798" s="6"/>
      <c r="G798" s="7"/>
      <c r="H798" s="7"/>
    </row>
    <row r="799">
      <c r="D799" s="9"/>
      <c r="F799" s="6"/>
      <c r="G799" s="7"/>
      <c r="H799" s="7"/>
    </row>
    <row r="800">
      <c r="D800" s="9"/>
      <c r="F800" s="6"/>
      <c r="G800" s="7"/>
      <c r="H800" s="7"/>
    </row>
    <row r="801">
      <c r="D801" s="9"/>
      <c r="F801" s="6"/>
      <c r="G801" s="7"/>
      <c r="H801" s="7"/>
    </row>
    <row r="802">
      <c r="D802" s="9"/>
      <c r="F802" s="6"/>
      <c r="G802" s="7"/>
      <c r="H802" s="7"/>
    </row>
    <row r="803">
      <c r="D803" s="9"/>
      <c r="F803" s="6"/>
      <c r="G803" s="7"/>
      <c r="H803" s="7"/>
    </row>
    <row r="804">
      <c r="D804" s="9"/>
      <c r="F804" s="6"/>
      <c r="G804" s="7"/>
      <c r="H804" s="7"/>
    </row>
    <row r="805">
      <c r="D805" s="9"/>
      <c r="F805" s="6"/>
      <c r="G805" s="7"/>
      <c r="H805" s="7"/>
    </row>
    <row r="806">
      <c r="D806" s="9"/>
      <c r="F806" s="6"/>
      <c r="G806" s="7"/>
      <c r="H806" s="7"/>
    </row>
    <row r="807">
      <c r="D807" s="9"/>
      <c r="F807" s="6"/>
      <c r="G807" s="7"/>
      <c r="H807" s="7"/>
    </row>
    <row r="808">
      <c r="D808" s="9"/>
      <c r="F808" s="6"/>
      <c r="G808" s="7"/>
      <c r="H808" s="7"/>
    </row>
    <row r="809">
      <c r="D809" s="9"/>
      <c r="F809" s="6"/>
      <c r="G809" s="7"/>
      <c r="H809" s="7"/>
    </row>
    <row r="810">
      <c r="D810" s="9"/>
      <c r="F810" s="6"/>
      <c r="G810" s="7"/>
      <c r="H810" s="7"/>
    </row>
    <row r="811">
      <c r="D811" s="9"/>
      <c r="F811" s="6"/>
      <c r="G811" s="7"/>
      <c r="H811" s="7"/>
    </row>
    <row r="812">
      <c r="D812" s="9"/>
      <c r="F812" s="6"/>
      <c r="G812" s="7"/>
      <c r="H812" s="7"/>
    </row>
    <row r="813">
      <c r="D813" s="9"/>
      <c r="F813" s="6"/>
      <c r="G813" s="7"/>
      <c r="H813" s="7"/>
    </row>
    <row r="814">
      <c r="D814" s="9"/>
      <c r="F814" s="6"/>
      <c r="G814" s="7"/>
      <c r="H814" s="7"/>
    </row>
    <row r="815">
      <c r="D815" s="9"/>
      <c r="F815" s="6"/>
      <c r="G815" s="7"/>
      <c r="H815" s="7"/>
    </row>
    <row r="816">
      <c r="D816" s="9"/>
      <c r="F816" s="6"/>
      <c r="G816" s="7"/>
      <c r="H816" s="7"/>
    </row>
    <row r="817">
      <c r="D817" s="9"/>
      <c r="F817" s="6"/>
      <c r="G817" s="7"/>
      <c r="H817" s="7"/>
    </row>
    <row r="818">
      <c r="D818" s="9"/>
      <c r="F818" s="6"/>
      <c r="G818" s="7"/>
      <c r="H818" s="7"/>
    </row>
    <row r="819">
      <c r="D819" s="9"/>
      <c r="F819" s="6"/>
      <c r="G819" s="7"/>
      <c r="H819" s="7"/>
    </row>
    <row r="820">
      <c r="D820" s="9"/>
      <c r="F820" s="6"/>
      <c r="G820" s="7"/>
      <c r="H820" s="7"/>
    </row>
    <row r="821">
      <c r="D821" s="9"/>
      <c r="F821" s="6"/>
      <c r="G821" s="7"/>
      <c r="H821" s="7"/>
    </row>
    <row r="822">
      <c r="D822" s="9"/>
      <c r="F822" s="6"/>
      <c r="G822" s="7"/>
      <c r="H822" s="7"/>
    </row>
    <row r="823">
      <c r="D823" s="9"/>
      <c r="F823" s="6"/>
      <c r="G823" s="7"/>
      <c r="H823" s="7"/>
    </row>
    <row r="824">
      <c r="D824" s="9"/>
      <c r="F824" s="6"/>
      <c r="G824" s="7"/>
      <c r="H824" s="7"/>
    </row>
    <row r="825">
      <c r="D825" s="9"/>
      <c r="F825" s="6"/>
      <c r="G825" s="7"/>
      <c r="H825" s="7"/>
    </row>
    <row r="826">
      <c r="D826" s="9"/>
      <c r="F826" s="6"/>
      <c r="G826" s="7"/>
      <c r="H826" s="7"/>
    </row>
    <row r="827">
      <c r="D827" s="9"/>
      <c r="F827" s="6"/>
      <c r="G827" s="7"/>
      <c r="H827" s="7"/>
    </row>
    <row r="828">
      <c r="D828" s="9"/>
      <c r="F828" s="6"/>
      <c r="G828" s="7"/>
      <c r="H828" s="7"/>
    </row>
    <row r="829">
      <c r="D829" s="9"/>
      <c r="F829" s="6"/>
      <c r="G829" s="7"/>
      <c r="H829" s="7"/>
    </row>
    <row r="830">
      <c r="D830" s="9"/>
      <c r="F830" s="6"/>
      <c r="G830" s="7"/>
      <c r="H830" s="7"/>
    </row>
    <row r="831">
      <c r="D831" s="9"/>
      <c r="F831" s="6"/>
      <c r="G831" s="7"/>
      <c r="H831" s="7"/>
    </row>
    <row r="832">
      <c r="D832" s="9"/>
      <c r="F832" s="6"/>
      <c r="G832" s="7"/>
      <c r="H832" s="7"/>
    </row>
    <row r="833">
      <c r="D833" s="9"/>
      <c r="F833" s="6"/>
      <c r="G833" s="7"/>
      <c r="H833" s="7"/>
    </row>
    <row r="834">
      <c r="D834" s="9"/>
      <c r="F834" s="6"/>
      <c r="G834" s="7"/>
      <c r="H834" s="7"/>
    </row>
    <row r="835">
      <c r="D835" s="9"/>
      <c r="F835" s="6"/>
      <c r="G835" s="7"/>
      <c r="H835" s="7"/>
    </row>
    <row r="836">
      <c r="D836" s="9"/>
      <c r="F836" s="6"/>
      <c r="G836" s="7"/>
      <c r="H836" s="7"/>
    </row>
    <row r="837">
      <c r="D837" s="9"/>
      <c r="F837" s="6"/>
      <c r="G837" s="7"/>
      <c r="H837" s="7"/>
    </row>
    <row r="838">
      <c r="D838" s="9"/>
      <c r="F838" s="6"/>
      <c r="G838" s="7"/>
      <c r="H838" s="7"/>
    </row>
    <row r="839">
      <c r="D839" s="9"/>
      <c r="F839" s="6"/>
      <c r="G839" s="7"/>
      <c r="H839" s="7"/>
    </row>
    <row r="840">
      <c r="D840" s="9"/>
      <c r="F840" s="6"/>
      <c r="G840" s="7"/>
      <c r="H840" s="7"/>
    </row>
    <row r="841">
      <c r="D841" s="9"/>
      <c r="F841" s="6"/>
      <c r="G841" s="7"/>
      <c r="H841" s="7"/>
    </row>
    <row r="842">
      <c r="D842" s="9"/>
      <c r="F842" s="6"/>
      <c r="G842" s="7"/>
      <c r="H842" s="7"/>
    </row>
    <row r="843">
      <c r="D843" s="9"/>
      <c r="F843" s="6"/>
      <c r="G843" s="7"/>
      <c r="H843" s="7"/>
    </row>
    <row r="844">
      <c r="D844" s="9"/>
      <c r="F844" s="6"/>
      <c r="G844" s="7"/>
      <c r="H844" s="7"/>
    </row>
    <row r="845">
      <c r="D845" s="9"/>
      <c r="F845" s="6"/>
      <c r="G845" s="7"/>
      <c r="H845" s="7"/>
    </row>
    <row r="846">
      <c r="D846" s="9"/>
      <c r="F846" s="6"/>
      <c r="G846" s="7"/>
      <c r="H846" s="7"/>
    </row>
    <row r="847">
      <c r="D847" s="9"/>
      <c r="F847" s="6"/>
      <c r="G847" s="7"/>
      <c r="H847" s="7"/>
    </row>
    <row r="848">
      <c r="D848" s="9"/>
      <c r="F848" s="6"/>
      <c r="G848" s="7"/>
      <c r="H848" s="7"/>
    </row>
    <row r="849">
      <c r="D849" s="9"/>
      <c r="F849" s="6"/>
      <c r="G849" s="7"/>
      <c r="H849" s="7"/>
    </row>
    <row r="850">
      <c r="D850" s="9"/>
      <c r="F850" s="6"/>
      <c r="G850" s="7"/>
      <c r="H850" s="7"/>
    </row>
    <row r="851">
      <c r="D851" s="9"/>
      <c r="F851" s="6"/>
      <c r="G851" s="7"/>
      <c r="H851" s="7"/>
    </row>
    <row r="852">
      <c r="D852" s="9"/>
      <c r="F852" s="6"/>
      <c r="G852" s="7"/>
      <c r="H852" s="7"/>
    </row>
    <row r="853">
      <c r="D853" s="9"/>
      <c r="F853" s="6"/>
      <c r="G853" s="7"/>
      <c r="H853" s="7"/>
    </row>
    <row r="854">
      <c r="D854" s="9"/>
      <c r="F854" s="6"/>
      <c r="G854" s="7"/>
      <c r="H854" s="7"/>
    </row>
    <row r="855">
      <c r="D855" s="9"/>
      <c r="F855" s="6"/>
      <c r="G855" s="7"/>
      <c r="H855" s="7"/>
    </row>
    <row r="856">
      <c r="D856" s="9"/>
      <c r="F856" s="6"/>
      <c r="G856" s="7"/>
      <c r="H856" s="7"/>
    </row>
    <row r="857">
      <c r="D857" s="9"/>
      <c r="F857" s="6"/>
      <c r="G857" s="7"/>
      <c r="H857" s="7"/>
    </row>
    <row r="858">
      <c r="D858" s="9"/>
      <c r="F858" s="6"/>
      <c r="G858" s="7"/>
      <c r="H858" s="7"/>
    </row>
    <row r="859">
      <c r="D859" s="9"/>
      <c r="F859" s="6"/>
      <c r="G859" s="7"/>
      <c r="H859" s="7"/>
    </row>
    <row r="860">
      <c r="D860" s="9"/>
      <c r="F860" s="6"/>
      <c r="G860" s="7"/>
      <c r="H860" s="7"/>
    </row>
    <row r="861">
      <c r="D861" s="9"/>
      <c r="F861" s="6"/>
      <c r="G861" s="7"/>
      <c r="H861" s="7"/>
    </row>
    <row r="862">
      <c r="D862" s="9"/>
      <c r="F862" s="6"/>
      <c r="G862" s="7"/>
      <c r="H862" s="7"/>
    </row>
    <row r="863">
      <c r="D863" s="9"/>
      <c r="F863" s="6"/>
      <c r="G863" s="7"/>
      <c r="H863" s="7"/>
    </row>
    <row r="864">
      <c r="D864" s="9"/>
      <c r="F864" s="6"/>
      <c r="G864" s="7"/>
      <c r="H864" s="7"/>
    </row>
    <row r="865">
      <c r="D865" s="9"/>
      <c r="F865" s="6"/>
      <c r="G865" s="7"/>
      <c r="H865" s="7"/>
    </row>
    <row r="866">
      <c r="D866" s="9"/>
      <c r="F866" s="6"/>
      <c r="G866" s="7"/>
      <c r="H866" s="7"/>
    </row>
    <row r="867">
      <c r="D867" s="9"/>
      <c r="F867" s="6"/>
      <c r="G867" s="7"/>
      <c r="H867" s="7"/>
    </row>
    <row r="868">
      <c r="D868" s="9"/>
      <c r="F868" s="6"/>
      <c r="G868" s="7"/>
      <c r="H868" s="7"/>
    </row>
    <row r="869">
      <c r="D869" s="9"/>
      <c r="F869" s="6"/>
      <c r="G869" s="7"/>
      <c r="H869" s="7"/>
    </row>
    <row r="870">
      <c r="D870" s="9"/>
      <c r="F870" s="6"/>
      <c r="G870" s="7"/>
      <c r="H870" s="7"/>
    </row>
    <row r="871">
      <c r="D871" s="9"/>
      <c r="F871" s="6"/>
      <c r="G871" s="7"/>
      <c r="H871" s="7"/>
    </row>
    <row r="872">
      <c r="D872" s="9"/>
      <c r="F872" s="6"/>
      <c r="G872" s="7"/>
      <c r="H872" s="7"/>
    </row>
    <row r="873">
      <c r="D873" s="9"/>
      <c r="F873" s="6"/>
      <c r="G873" s="7"/>
      <c r="H873" s="7"/>
    </row>
    <row r="874">
      <c r="D874" s="9"/>
      <c r="F874" s="6"/>
      <c r="G874" s="7"/>
      <c r="H874" s="7"/>
    </row>
    <row r="875">
      <c r="D875" s="9"/>
      <c r="F875" s="6"/>
      <c r="G875" s="7"/>
      <c r="H875" s="7"/>
    </row>
    <row r="876">
      <c r="D876" s="9"/>
      <c r="F876" s="6"/>
      <c r="G876" s="7"/>
      <c r="H876" s="7"/>
    </row>
    <row r="877">
      <c r="D877" s="9"/>
      <c r="F877" s="6"/>
      <c r="G877" s="7"/>
      <c r="H877" s="7"/>
    </row>
    <row r="878">
      <c r="D878" s="9"/>
      <c r="F878" s="6"/>
      <c r="G878" s="7"/>
      <c r="H878" s="7"/>
    </row>
    <row r="879">
      <c r="D879" s="9"/>
      <c r="F879" s="6"/>
      <c r="G879" s="7"/>
      <c r="H879" s="7"/>
    </row>
    <row r="880">
      <c r="D880" s="9"/>
      <c r="F880" s="6"/>
      <c r="G880" s="7"/>
      <c r="H880" s="7"/>
    </row>
    <row r="881">
      <c r="D881" s="9"/>
      <c r="F881" s="6"/>
      <c r="G881" s="7"/>
      <c r="H881" s="7"/>
    </row>
    <row r="882">
      <c r="D882" s="9"/>
      <c r="F882" s="6"/>
      <c r="G882" s="7"/>
      <c r="H882" s="7"/>
    </row>
    <row r="883">
      <c r="D883" s="9"/>
      <c r="F883" s="6"/>
      <c r="G883" s="7"/>
      <c r="H883" s="7"/>
    </row>
    <row r="884">
      <c r="D884" s="9"/>
      <c r="F884" s="6"/>
      <c r="G884" s="7"/>
      <c r="H884" s="7"/>
    </row>
    <row r="885">
      <c r="D885" s="9"/>
      <c r="F885" s="6"/>
      <c r="G885" s="7"/>
      <c r="H885" s="7"/>
    </row>
    <row r="886">
      <c r="D886" s="9"/>
      <c r="F886" s="6"/>
      <c r="G886" s="7"/>
      <c r="H886" s="7"/>
    </row>
    <row r="887">
      <c r="D887" s="9"/>
      <c r="F887" s="6"/>
      <c r="G887" s="7"/>
      <c r="H887" s="7"/>
    </row>
    <row r="888">
      <c r="D888" s="9"/>
      <c r="F888" s="6"/>
      <c r="G888" s="7"/>
      <c r="H888" s="7"/>
    </row>
    <row r="889">
      <c r="D889" s="9"/>
      <c r="F889" s="6"/>
      <c r="G889" s="7"/>
      <c r="H889" s="7"/>
    </row>
    <row r="890">
      <c r="D890" s="9"/>
      <c r="F890" s="6"/>
      <c r="G890" s="7"/>
      <c r="H890" s="7"/>
    </row>
    <row r="891">
      <c r="D891" s="9"/>
      <c r="F891" s="6"/>
      <c r="G891" s="7"/>
      <c r="H891" s="7"/>
    </row>
    <row r="892">
      <c r="D892" s="9"/>
      <c r="F892" s="6"/>
      <c r="G892" s="7"/>
      <c r="H892" s="7"/>
    </row>
    <row r="893">
      <c r="D893" s="9"/>
      <c r="F893" s="6"/>
      <c r="G893" s="7"/>
      <c r="H893" s="7"/>
    </row>
    <row r="894">
      <c r="D894" s="9"/>
      <c r="F894" s="6"/>
      <c r="G894" s="7"/>
      <c r="H894" s="7"/>
    </row>
    <row r="895">
      <c r="D895" s="9"/>
      <c r="F895" s="6"/>
      <c r="G895" s="7"/>
      <c r="H895" s="7"/>
    </row>
    <row r="896">
      <c r="D896" s="9"/>
      <c r="F896" s="6"/>
      <c r="G896" s="7"/>
      <c r="H896" s="7"/>
    </row>
    <row r="897">
      <c r="D897" s="9"/>
      <c r="F897" s="6"/>
      <c r="G897" s="7"/>
      <c r="H897" s="7"/>
    </row>
    <row r="898">
      <c r="D898" s="9"/>
      <c r="F898" s="6"/>
      <c r="G898" s="7"/>
      <c r="H898" s="7"/>
    </row>
    <row r="899">
      <c r="D899" s="9"/>
      <c r="F899" s="6"/>
      <c r="G899" s="7"/>
      <c r="H899" s="7"/>
    </row>
    <row r="900">
      <c r="D900" s="9"/>
      <c r="F900" s="6"/>
      <c r="G900" s="7"/>
      <c r="H900" s="7"/>
    </row>
    <row r="901">
      <c r="D901" s="9"/>
      <c r="F901" s="6"/>
      <c r="G901" s="7"/>
      <c r="H901" s="7"/>
    </row>
    <row r="902">
      <c r="D902" s="9"/>
      <c r="F902" s="6"/>
      <c r="G902" s="7"/>
      <c r="H902" s="7"/>
    </row>
    <row r="903">
      <c r="D903" s="9"/>
      <c r="F903" s="6"/>
      <c r="G903" s="7"/>
      <c r="H903" s="7"/>
    </row>
    <row r="904">
      <c r="D904" s="9"/>
      <c r="F904" s="6"/>
      <c r="G904" s="7"/>
      <c r="H904" s="7"/>
    </row>
    <row r="905">
      <c r="D905" s="9"/>
      <c r="F905" s="6"/>
      <c r="G905" s="7"/>
      <c r="H905" s="7"/>
    </row>
    <row r="906">
      <c r="D906" s="9"/>
      <c r="F906" s="6"/>
      <c r="G906" s="7"/>
      <c r="H906" s="7"/>
    </row>
    <row r="907">
      <c r="D907" s="9"/>
      <c r="F907" s="6"/>
      <c r="G907" s="7"/>
      <c r="H907" s="7"/>
    </row>
    <row r="908">
      <c r="D908" s="9"/>
      <c r="F908" s="6"/>
      <c r="G908" s="7"/>
      <c r="H908" s="7"/>
    </row>
    <row r="909">
      <c r="D909" s="9"/>
      <c r="F909" s="6"/>
      <c r="G909" s="7"/>
      <c r="H909" s="7"/>
    </row>
    <row r="910">
      <c r="D910" s="9"/>
      <c r="F910" s="6"/>
      <c r="G910" s="7"/>
      <c r="H910" s="7"/>
    </row>
    <row r="911">
      <c r="D911" s="9"/>
      <c r="F911" s="6"/>
      <c r="G911" s="7"/>
      <c r="H911" s="7"/>
    </row>
    <row r="912">
      <c r="D912" s="9"/>
      <c r="F912" s="6"/>
      <c r="G912" s="7"/>
      <c r="H912" s="7"/>
    </row>
    <row r="913">
      <c r="D913" s="9"/>
      <c r="F913" s="6"/>
      <c r="G913" s="7"/>
      <c r="H913" s="7"/>
    </row>
    <row r="914">
      <c r="D914" s="9"/>
      <c r="F914" s="6"/>
      <c r="G914" s="7"/>
      <c r="H914" s="7"/>
    </row>
    <row r="915">
      <c r="D915" s="9"/>
      <c r="F915" s="6"/>
      <c r="G915" s="7"/>
      <c r="H915" s="7"/>
    </row>
    <row r="916">
      <c r="D916" s="9"/>
      <c r="F916" s="6"/>
      <c r="G916" s="7"/>
      <c r="H916" s="7"/>
    </row>
    <row r="917">
      <c r="D917" s="9"/>
      <c r="F917" s="6"/>
      <c r="G917" s="7"/>
      <c r="H917" s="7"/>
    </row>
    <row r="918">
      <c r="D918" s="9"/>
      <c r="F918" s="6"/>
      <c r="G918" s="7"/>
      <c r="H918" s="7"/>
    </row>
    <row r="919">
      <c r="D919" s="9"/>
      <c r="F919" s="6"/>
      <c r="G919" s="7"/>
      <c r="H919" s="7"/>
    </row>
    <row r="920">
      <c r="D920" s="9"/>
      <c r="F920" s="6"/>
      <c r="G920" s="7"/>
      <c r="H920" s="7"/>
    </row>
    <row r="921">
      <c r="D921" s="9"/>
      <c r="F921" s="6"/>
      <c r="G921" s="7"/>
      <c r="H921" s="7"/>
    </row>
    <row r="922">
      <c r="D922" s="9"/>
      <c r="F922" s="6"/>
      <c r="G922" s="7"/>
      <c r="H922" s="7"/>
    </row>
    <row r="923">
      <c r="D923" s="9"/>
      <c r="F923" s="6"/>
      <c r="G923" s="7"/>
      <c r="H923" s="7"/>
    </row>
    <row r="924">
      <c r="D924" s="9"/>
      <c r="F924" s="6"/>
      <c r="G924" s="7"/>
      <c r="H924" s="7"/>
    </row>
    <row r="925">
      <c r="D925" s="9"/>
      <c r="F925" s="6"/>
      <c r="G925" s="7"/>
      <c r="H925" s="7"/>
    </row>
    <row r="926">
      <c r="D926" s="9"/>
      <c r="F926" s="6"/>
      <c r="G926" s="7"/>
      <c r="H926" s="7"/>
    </row>
    <row r="927">
      <c r="D927" s="9"/>
      <c r="F927" s="6"/>
      <c r="G927" s="7"/>
      <c r="H927" s="7"/>
    </row>
    <row r="928">
      <c r="D928" s="9"/>
      <c r="F928" s="6"/>
      <c r="G928" s="7"/>
      <c r="H928" s="7"/>
    </row>
    <row r="929">
      <c r="D929" s="9"/>
      <c r="F929" s="6"/>
      <c r="G929" s="7"/>
      <c r="H929" s="7"/>
    </row>
    <row r="930">
      <c r="D930" s="9"/>
      <c r="F930" s="6"/>
      <c r="G930" s="7"/>
      <c r="H930" s="7"/>
    </row>
    <row r="931">
      <c r="D931" s="9"/>
      <c r="F931" s="6"/>
      <c r="G931" s="7"/>
      <c r="H931" s="7"/>
    </row>
    <row r="932">
      <c r="D932" s="9"/>
      <c r="F932" s="6"/>
      <c r="G932" s="7"/>
      <c r="H932" s="7"/>
    </row>
    <row r="933">
      <c r="D933" s="9"/>
      <c r="F933" s="6"/>
      <c r="G933" s="7"/>
      <c r="H933" s="7"/>
    </row>
    <row r="934">
      <c r="D934" s="9"/>
      <c r="F934" s="6"/>
      <c r="G934" s="7"/>
      <c r="H934" s="7"/>
    </row>
    <row r="935">
      <c r="D935" s="9"/>
      <c r="F935" s="6"/>
      <c r="G935" s="7"/>
      <c r="H935" s="7"/>
    </row>
    <row r="936">
      <c r="D936" s="9"/>
      <c r="F936" s="6"/>
      <c r="G936" s="7"/>
      <c r="H936" s="7"/>
    </row>
    <row r="937">
      <c r="D937" s="9"/>
      <c r="F937" s="6"/>
      <c r="G937" s="7"/>
      <c r="H937" s="7"/>
    </row>
    <row r="938">
      <c r="D938" s="9"/>
      <c r="F938" s="6"/>
      <c r="G938" s="7"/>
      <c r="H938" s="7"/>
    </row>
    <row r="939">
      <c r="D939" s="9"/>
      <c r="F939" s="6"/>
      <c r="G939" s="7"/>
      <c r="H939" s="7"/>
    </row>
    <row r="940">
      <c r="D940" s="9"/>
      <c r="F940" s="6"/>
      <c r="G940" s="7"/>
      <c r="H940" s="7"/>
    </row>
    <row r="941">
      <c r="D941" s="9"/>
      <c r="F941" s="6"/>
      <c r="G941" s="7"/>
      <c r="H941" s="7"/>
    </row>
    <row r="942">
      <c r="D942" s="9"/>
      <c r="F942" s="6"/>
      <c r="G942" s="7"/>
      <c r="H942" s="7"/>
    </row>
    <row r="943">
      <c r="D943" s="9"/>
      <c r="F943" s="6"/>
      <c r="G943" s="7"/>
      <c r="H943" s="7"/>
    </row>
    <row r="944">
      <c r="D944" s="9"/>
      <c r="F944" s="6"/>
      <c r="G944" s="7"/>
      <c r="H944" s="7"/>
    </row>
    <row r="945">
      <c r="D945" s="9"/>
      <c r="F945" s="6"/>
      <c r="G945" s="7"/>
      <c r="H945" s="7"/>
    </row>
    <row r="946">
      <c r="D946" s="9"/>
      <c r="F946" s="6"/>
      <c r="G946" s="7"/>
      <c r="H946" s="7"/>
    </row>
    <row r="947">
      <c r="D947" s="9"/>
      <c r="F947" s="6"/>
      <c r="G947" s="7"/>
      <c r="H947" s="7"/>
    </row>
    <row r="948">
      <c r="D948" s="9"/>
      <c r="F948" s="6"/>
      <c r="G948" s="7"/>
      <c r="H948" s="7"/>
    </row>
    <row r="949">
      <c r="D949" s="9"/>
      <c r="F949" s="6"/>
      <c r="G949" s="7"/>
      <c r="H949" s="7"/>
    </row>
    <row r="950">
      <c r="D950" s="9"/>
      <c r="F950" s="6"/>
      <c r="G950" s="7"/>
      <c r="H950" s="7"/>
    </row>
    <row r="951">
      <c r="D951" s="9"/>
      <c r="F951" s="6"/>
      <c r="G951" s="7"/>
      <c r="H951" s="7"/>
    </row>
    <row r="952">
      <c r="D952" s="9"/>
      <c r="F952" s="6"/>
      <c r="G952" s="7"/>
      <c r="H952" s="7"/>
    </row>
    <row r="953">
      <c r="D953" s="9"/>
      <c r="F953" s="6"/>
      <c r="G953" s="7"/>
      <c r="H953" s="7"/>
    </row>
    <row r="954">
      <c r="D954" s="9"/>
      <c r="F954" s="6"/>
      <c r="G954" s="7"/>
      <c r="H954" s="7"/>
    </row>
    <row r="955">
      <c r="D955" s="9"/>
      <c r="F955" s="6"/>
      <c r="G955" s="7"/>
      <c r="H955" s="7"/>
    </row>
    <row r="956">
      <c r="D956" s="9"/>
      <c r="F956" s="6"/>
      <c r="G956" s="7"/>
      <c r="H956" s="7"/>
    </row>
    <row r="957">
      <c r="D957" s="9"/>
      <c r="F957" s="6"/>
      <c r="G957" s="7"/>
      <c r="H957" s="7"/>
    </row>
    <row r="958">
      <c r="D958" s="9"/>
      <c r="F958" s="6"/>
      <c r="G958" s="7"/>
      <c r="H958" s="7"/>
    </row>
    <row r="959">
      <c r="D959" s="9"/>
      <c r="F959" s="6"/>
      <c r="G959" s="7"/>
      <c r="H959" s="7"/>
    </row>
    <row r="960">
      <c r="D960" s="9"/>
      <c r="F960" s="6"/>
      <c r="G960" s="7"/>
      <c r="H960" s="7"/>
    </row>
    <row r="961">
      <c r="D961" s="9"/>
      <c r="F961" s="6"/>
      <c r="G961" s="7"/>
      <c r="H961" s="7"/>
    </row>
    <row r="962">
      <c r="D962" s="9"/>
      <c r="F962" s="6"/>
      <c r="G962" s="7"/>
      <c r="H962" s="7"/>
    </row>
    <row r="963">
      <c r="D963" s="9"/>
      <c r="F963" s="6"/>
      <c r="G963" s="7"/>
      <c r="H963" s="7"/>
    </row>
    <row r="964">
      <c r="D964" s="9"/>
      <c r="F964" s="6"/>
      <c r="G964" s="7"/>
      <c r="H964" s="7"/>
    </row>
    <row r="965">
      <c r="D965" s="9"/>
      <c r="F965" s="6"/>
      <c r="G965" s="7"/>
      <c r="H965" s="7"/>
    </row>
    <row r="966">
      <c r="D966" s="9"/>
      <c r="F966" s="6"/>
      <c r="G966" s="7"/>
      <c r="H966" s="7"/>
    </row>
    <row r="967">
      <c r="D967" s="9"/>
      <c r="F967" s="6"/>
      <c r="G967" s="7"/>
      <c r="H967" s="7"/>
    </row>
    <row r="968">
      <c r="D968" s="9"/>
      <c r="F968" s="6"/>
      <c r="G968" s="7"/>
      <c r="H968" s="7"/>
    </row>
    <row r="969">
      <c r="D969" s="9"/>
      <c r="F969" s="6"/>
      <c r="G969" s="7"/>
      <c r="H969" s="7"/>
    </row>
    <row r="970">
      <c r="D970" s="9"/>
      <c r="F970" s="6"/>
      <c r="G970" s="7"/>
      <c r="H970" s="7"/>
    </row>
    <row r="971">
      <c r="D971" s="9"/>
      <c r="F971" s="6"/>
      <c r="G971" s="7"/>
      <c r="H971" s="7"/>
    </row>
    <row r="972">
      <c r="D972" s="9"/>
      <c r="F972" s="6"/>
      <c r="G972" s="7"/>
      <c r="H972" s="7"/>
    </row>
    <row r="973">
      <c r="D973" s="9"/>
      <c r="F973" s="6"/>
      <c r="G973" s="7"/>
      <c r="H973" s="7"/>
    </row>
    <row r="974">
      <c r="D974" s="9"/>
      <c r="F974" s="6"/>
      <c r="G974" s="7"/>
      <c r="H974" s="7"/>
    </row>
    <row r="975">
      <c r="D975" s="9"/>
      <c r="F975" s="6"/>
      <c r="G975" s="7"/>
      <c r="H975" s="7"/>
    </row>
    <row r="976">
      <c r="D976" s="9"/>
      <c r="F976" s="6"/>
      <c r="G976" s="7"/>
      <c r="H976" s="7"/>
    </row>
    <row r="977">
      <c r="D977" s="9"/>
      <c r="F977" s="6"/>
      <c r="G977" s="7"/>
      <c r="H977" s="7"/>
    </row>
    <row r="978">
      <c r="D978" s="9"/>
      <c r="F978" s="6"/>
      <c r="G978" s="7"/>
      <c r="H978" s="7"/>
    </row>
    <row r="979">
      <c r="D979" s="9"/>
      <c r="F979" s="6"/>
      <c r="G979" s="7"/>
      <c r="H979" s="7"/>
    </row>
    <row r="980">
      <c r="D980" s="9"/>
      <c r="F980" s="6"/>
      <c r="G980" s="7"/>
      <c r="H980" s="7"/>
    </row>
    <row r="981">
      <c r="D981" s="9"/>
      <c r="F981" s="6"/>
      <c r="G981" s="7"/>
      <c r="H981" s="7"/>
    </row>
    <row r="982">
      <c r="D982" s="9"/>
      <c r="F982" s="6"/>
      <c r="G982" s="7"/>
      <c r="H982" s="7"/>
    </row>
    <row r="983">
      <c r="D983" s="9"/>
      <c r="F983" s="6"/>
      <c r="G983" s="7"/>
      <c r="H983" s="7"/>
    </row>
    <row r="984">
      <c r="D984" s="9"/>
      <c r="F984" s="6"/>
      <c r="G984" s="7"/>
      <c r="H984" s="7"/>
    </row>
    <row r="985">
      <c r="D985" s="9"/>
      <c r="F985" s="6"/>
      <c r="G985" s="7"/>
      <c r="H985" s="7"/>
    </row>
    <row r="986">
      <c r="D986" s="9"/>
      <c r="F986" s="6"/>
      <c r="G986" s="7"/>
      <c r="H986" s="7"/>
    </row>
    <row r="987">
      <c r="D987" s="9"/>
      <c r="F987" s="6"/>
      <c r="G987" s="7"/>
      <c r="H987" s="7"/>
    </row>
    <row r="988">
      <c r="D988" s="9"/>
      <c r="F988" s="6"/>
      <c r="G988" s="7"/>
      <c r="H988" s="7"/>
    </row>
    <row r="989">
      <c r="D989" s="9"/>
      <c r="F989" s="6"/>
      <c r="G989" s="7"/>
      <c r="H989" s="7"/>
    </row>
    <row r="990">
      <c r="D990" s="9"/>
      <c r="F990" s="6"/>
      <c r="G990" s="7"/>
      <c r="H990" s="7"/>
    </row>
    <row r="991">
      <c r="D991" s="9"/>
      <c r="F991" s="6"/>
      <c r="G991" s="7"/>
      <c r="H991" s="7"/>
    </row>
    <row r="992">
      <c r="D992" s="9"/>
      <c r="F992" s="6"/>
      <c r="G992" s="7"/>
      <c r="H992" s="7"/>
    </row>
    <row r="993">
      <c r="D993" s="9"/>
      <c r="F993" s="6"/>
      <c r="G993" s="7"/>
      <c r="H993" s="7"/>
    </row>
    <row r="994">
      <c r="D994" s="9"/>
      <c r="F994" s="6"/>
      <c r="G994" s="7"/>
      <c r="H994" s="7"/>
    </row>
    <row r="995">
      <c r="D995" s="9"/>
      <c r="F995" s="6"/>
      <c r="G995" s="7"/>
      <c r="H995" s="7"/>
    </row>
    <row r="996">
      <c r="D996" s="9"/>
      <c r="F996" s="6"/>
      <c r="G996" s="7"/>
      <c r="H996" s="7"/>
    </row>
    <row r="997">
      <c r="D997" s="9"/>
      <c r="F997" s="6"/>
      <c r="G997" s="7"/>
      <c r="H997" s="7"/>
    </row>
    <row r="998">
      <c r="D998" s="9"/>
      <c r="F998" s="6"/>
      <c r="G998" s="7"/>
      <c r="H998" s="7"/>
    </row>
    <row r="999">
      <c r="D999" s="9"/>
      <c r="F999" s="6"/>
      <c r="G999" s="7"/>
      <c r="H999" s="7"/>
    </row>
    <row r="1000">
      <c r="D1000" s="9"/>
      <c r="F1000" s="6"/>
      <c r="G1000" s="7"/>
      <c r="H1000" s="7"/>
    </row>
  </sheetData>
  <autoFilter ref="$A$1:$H$83"/>
  <customSheetViews>
    <customSheetView guid="{367F6482-00CA-4FE3-AC6F-40AAC86F5A5C}" filter="1" showAutoFilter="1">
      <autoFilter ref="$A$1:$H$83">
        <filterColumn colId="2">
          <filters>
            <filter val="Xinyuan"/>
          </filters>
        </filterColumn>
      </autoFilter>
    </customSheetView>
    <customSheetView guid="{6254CA12-838A-48EA-9DF4-50E4A048A783}" filter="1" showAutoFilter="1">
      <autoFilter ref="$A$1:$H$22"/>
    </customSheetView>
    <customSheetView guid="{FA04AEA4-6B32-41B2-BB4A-4029162B032C}" filter="1" showAutoFilter="1">
      <autoFilter ref="$A$1:$H$83">
        <filterColumn colId="2">
          <filters>
            <filter val="Jiqing"/>
          </filters>
        </filterColumn>
      </autoFilter>
    </customSheetView>
    <customSheetView guid="{E10CB5DA-6921-4BA9-971D-6A9BC4FA725D}" filter="1" showAutoFilter="1">
      <autoFilter ref="$A$1:$H$83">
        <filterColumn colId="2">
          <filters>
            <filter val="Som/Aditya"/>
          </filters>
        </filterColumn>
      </autoFilter>
    </customSheetView>
    <customSheetView guid="{08B983F1-059D-45E6-9469-C220E114CF02}" filter="1" showAutoFilter="1">
      <autoFilter ref="$A$1:$H$83">
        <filterColumn colId="2">
          <filters>
            <filter val="Isaiah"/>
          </filters>
        </filterColumn>
      </autoFilter>
    </customSheetView>
  </customSheetViews>
  <dataValidations>
    <dataValidation type="list" allowBlank="1" showErrorMessage="1" sqref="H1:H1000">
      <formula1>"no,yes"</formula1>
    </dataValidation>
    <dataValidation type="list" allowBlank="1" showErrorMessage="1" sqref="G1:G1000">
      <formula1>"Causality,Collision,Contact,Deformation,Fluid,Friction,Gravity,Momentum"</formula1>
    </dataValidation>
  </dataValidations>
  <drawing r:id="rId1"/>
</worksheet>
</file>